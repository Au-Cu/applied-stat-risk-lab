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周金铜\Documents\Codex\2026-07-17\so\outputs\"/>
    </mc:Choice>
  </mc:AlternateContent>
  <xr:revisionPtr revIDLastSave="0" documentId="13_ncr:1_{C0DA585F-B11E-4B42-B49B-1DE8C1F56C5B}" xr6:coauthVersionLast="47" xr6:coauthVersionMax="47" xr10:uidLastSave="{00000000-0000-0000-0000-000000000000}"/>
  <bookViews>
    <workbookView xWindow="1837" yWindow="1837" windowWidth="14401" windowHeight="8453" firstSheet="4" activeTab="8" xr2:uid="{00000000-000D-0000-FFFF-FFFF00000000}"/>
  </bookViews>
  <sheets>
    <sheet name="使用说明" sheetId="1" r:id="rId1"/>
    <sheet name="院校总表" sheetId="2" r:id="rId2"/>
    <sheet name="年度线与录取" sheetId="3" r:id="rId3"/>
    <sheet name="卡方432索引" sheetId="4" r:id="rId4"/>
    <sheet name="来源台账" sheetId="5" r:id="rId5"/>
    <sheet name="字段口径" sheetId="6" r:id="rId6"/>
    <sheet name="历年真题证据" sheetId="7" r:id="rId7"/>
    <sheet name="真题索引覆盖" sheetId="8" r:id="rId8"/>
    <sheet name="字段缺口审计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3" i="2" l="1"/>
  <c r="AJ83" i="2"/>
  <c r="AI83" i="2"/>
  <c r="AK82" i="2"/>
  <c r="AJ82" i="2"/>
  <c r="AI82" i="2"/>
  <c r="AK77" i="2"/>
  <c r="AJ77" i="2"/>
  <c r="AI77" i="2"/>
  <c r="AK81" i="2"/>
  <c r="AJ81" i="2"/>
  <c r="AI81" i="2"/>
  <c r="AK76" i="2"/>
  <c r="AJ76" i="2"/>
  <c r="AI76" i="2"/>
  <c r="AK75" i="2"/>
  <c r="AJ75" i="2"/>
  <c r="AI75" i="2"/>
  <c r="AK80" i="2"/>
  <c r="AJ80" i="2"/>
  <c r="AI80" i="2"/>
  <c r="AK79" i="2"/>
  <c r="AJ79" i="2"/>
  <c r="AI79" i="2"/>
  <c r="AK28" i="2"/>
  <c r="AJ28" i="2"/>
  <c r="AI28" i="2"/>
  <c r="AK74" i="2"/>
  <c r="AJ74" i="2"/>
  <c r="AI74" i="2"/>
  <c r="AK73" i="2"/>
  <c r="AJ73" i="2"/>
  <c r="AI73" i="2"/>
  <c r="AK72" i="2"/>
  <c r="AJ72" i="2"/>
  <c r="AI72" i="2"/>
  <c r="AK71" i="2"/>
  <c r="AJ71" i="2"/>
  <c r="AI71" i="2"/>
  <c r="AK70" i="2"/>
  <c r="AJ70" i="2"/>
  <c r="AI70" i="2"/>
  <c r="AK69" i="2"/>
  <c r="AJ69" i="2"/>
  <c r="AI69" i="2"/>
  <c r="AK68" i="2"/>
  <c r="AJ68" i="2"/>
  <c r="AI68" i="2"/>
  <c r="AK67" i="2"/>
  <c r="AJ67" i="2"/>
  <c r="AI67" i="2"/>
  <c r="AK66" i="2"/>
  <c r="AJ66" i="2"/>
  <c r="AI66" i="2"/>
  <c r="AK65" i="2"/>
  <c r="AJ65" i="2"/>
  <c r="AI65" i="2"/>
  <c r="AK64" i="2"/>
  <c r="AJ64" i="2"/>
  <c r="AI64" i="2"/>
  <c r="AK78" i="2"/>
  <c r="AJ78" i="2"/>
  <c r="AI78" i="2"/>
  <c r="AK63" i="2"/>
  <c r="AJ63" i="2"/>
  <c r="AI63" i="2"/>
  <c r="AK62" i="2"/>
  <c r="AJ62" i="2"/>
  <c r="AI62" i="2"/>
  <c r="AK61" i="2"/>
  <c r="AJ61" i="2"/>
  <c r="AI61" i="2"/>
  <c r="AK60" i="2"/>
  <c r="AJ60" i="2"/>
  <c r="AI60" i="2"/>
  <c r="AK59" i="2"/>
  <c r="AJ59" i="2"/>
  <c r="AI59" i="2"/>
  <c r="AK58" i="2"/>
  <c r="AJ58" i="2"/>
  <c r="AI58" i="2"/>
  <c r="AK57" i="2"/>
  <c r="AJ57" i="2"/>
  <c r="AI57" i="2"/>
  <c r="AK56" i="2"/>
  <c r="AJ56" i="2"/>
  <c r="AI56" i="2"/>
  <c r="AK55" i="2"/>
  <c r="AJ55" i="2"/>
  <c r="AI55" i="2"/>
  <c r="AK54" i="2"/>
  <c r="AJ54" i="2"/>
  <c r="AI54" i="2"/>
  <c r="AK53" i="2"/>
  <c r="AJ53" i="2"/>
  <c r="AI53" i="2"/>
  <c r="AK52" i="2"/>
  <c r="AJ52" i="2"/>
  <c r="AI52" i="2"/>
  <c r="AK51" i="2"/>
  <c r="AJ51" i="2"/>
  <c r="AI51" i="2"/>
  <c r="AK23" i="2"/>
  <c r="AJ23" i="2"/>
  <c r="AI23" i="2"/>
  <c r="AK50" i="2"/>
  <c r="AJ50" i="2"/>
  <c r="AI50" i="2"/>
  <c r="AK49" i="2"/>
  <c r="AJ49" i="2"/>
  <c r="AI49" i="2"/>
  <c r="AK48" i="2"/>
  <c r="AJ48" i="2"/>
  <c r="AI48" i="2"/>
  <c r="AK47" i="2"/>
  <c r="AJ47" i="2"/>
  <c r="AI47" i="2"/>
  <c r="AK46" i="2"/>
  <c r="AJ46" i="2"/>
  <c r="AI46" i="2"/>
  <c r="AK45" i="2"/>
  <c r="AJ45" i="2"/>
  <c r="AI45" i="2"/>
  <c r="AK44" i="2"/>
  <c r="AJ44" i="2"/>
  <c r="AI44" i="2"/>
  <c r="AK43" i="2"/>
  <c r="AJ43" i="2"/>
  <c r="AI43" i="2"/>
  <c r="AK20" i="2"/>
  <c r="AJ20" i="2"/>
  <c r="AI20" i="2"/>
  <c r="AK42" i="2"/>
  <c r="AJ42" i="2"/>
  <c r="AI42" i="2"/>
  <c r="AK41" i="2"/>
  <c r="AJ41" i="2"/>
  <c r="AI41" i="2"/>
  <c r="AK40" i="2"/>
  <c r="AJ40" i="2"/>
  <c r="AI40" i="2"/>
  <c r="AK39" i="2"/>
  <c r="AJ39" i="2"/>
  <c r="AI39" i="2"/>
  <c r="AK38" i="2"/>
  <c r="AJ38" i="2"/>
  <c r="AI38" i="2"/>
  <c r="AK14" i="2"/>
  <c r="AJ14" i="2"/>
  <c r="AI14" i="2"/>
  <c r="AK37" i="2"/>
  <c r="AJ37" i="2"/>
  <c r="AI37" i="2"/>
  <c r="AK32" i="2"/>
  <c r="AJ32" i="2"/>
  <c r="AI32" i="2"/>
  <c r="AK19" i="2"/>
  <c r="AJ19" i="2"/>
  <c r="AI19" i="2"/>
  <c r="AK17" i="2"/>
  <c r="AJ17" i="2"/>
  <c r="AI17" i="2"/>
  <c r="AK13" i="2"/>
  <c r="AJ13" i="2"/>
  <c r="AI13" i="2"/>
  <c r="AK12" i="2"/>
  <c r="AJ12" i="2"/>
  <c r="AI12" i="2"/>
  <c r="AK16" i="2"/>
  <c r="AJ16" i="2"/>
  <c r="AI16" i="2"/>
  <c r="AK26" i="2"/>
  <c r="AJ26" i="2"/>
  <c r="AI26" i="2"/>
  <c r="AK7" i="2"/>
  <c r="AJ7" i="2"/>
  <c r="AI7" i="2"/>
  <c r="AK36" i="2"/>
  <c r="AJ36" i="2"/>
  <c r="AI36" i="2"/>
  <c r="AK35" i="2"/>
  <c r="AJ35" i="2"/>
  <c r="AI35" i="2"/>
  <c r="AK34" i="2"/>
  <c r="AJ34" i="2"/>
  <c r="AI34" i="2"/>
  <c r="AK33" i="2"/>
  <c r="AJ33" i="2"/>
  <c r="AI33" i="2"/>
  <c r="AK18" i="2"/>
  <c r="AJ18" i="2"/>
  <c r="AI18" i="2"/>
  <c r="AK9" i="2"/>
  <c r="AJ9" i="2"/>
  <c r="AI9" i="2"/>
  <c r="AK31" i="2"/>
  <c r="AJ31" i="2"/>
  <c r="AI31" i="2"/>
  <c r="AK25" i="2"/>
  <c r="AJ25" i="2"/>
  <c r="AI25" i="2"/>
  <c r="AK4" i="2"/>
  <c r="AJ4" i="2"/>
  <c r="AI4" i="2"/>
  <c r="AK30" i="2"/>
  <c r="AJ30" i="2"/>
  <c r="AI30" i="2"/>
  <c r="AK22" i="2"/>
  <c r="AJ22" i="2"/>
  <c r="AI22" i="2"/>
  <c r="AK24" i="2"/>
  <c r="AJ24" i="2"/>
  <c r="AI24" i="2"/>
  <c r="AK11" i="2"/>
  <c r="AJ11" i="2"/>
  <c r="AI11" i="2"/>
  <c r="AK15" i="2"/>
  <c r="AJ15" i="2"/>
  <c r="AI15" i="2"/>
  <c r="AK27" i="2"/>
  <c r="AJ27" i="2"/>
  <c r="AI27" i="2"/>
  <c r="AK29" i="2"/>
  <c r="AJ29" i="2"/>
  <c r="AI29" i="2"/>
  <c r="AK21" i="2"/>
  <c r="AJ21" i="2"/>
  <c r="AI21" i="2"/>
  <c r="AK6" i="2"/>
  <c r="AJ6" i="2"/>
  <c r="AI6" i="2"/>
  <c r="AK3" i="2"/>
  <c r="AJ3" i="2"/>
  <c r="AI3" i="2"/>
  <c r="AK5" i="2"/>
  <c r="AJ5" i="2"/>
  <c r="AI5" i="2"/>
  <c r="AK8" i="2"/>
  <c r="AJ8" i="2"/>
  <c r="AI8" i="2"/>
  <c r="AK10" i="2"/>
  <c r="AJ10" i="2"/>
  <c r="AI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tc={8E3E5B49-DB45-B84B-BC0D-6C8AF69D753D}</author>
  </authors>
  <commentList>
    <comment ref="A1" authorId="0" shapeId="0" xr:uid="{00000000-0006-0000-00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2026-08-13核验快照；官方最新 &gt; 机构最新 &gt; 官方旧 &gt; 机构旧。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tc={6C4E092D-2BDA-08F4-5CB8-F18555D193E7}</author>
    <author>tc={85A5AAEE-F91C-29C9-E2DC-8205A6659E62}</author>
    <author>tc={F6B9BEB2-9A8E-5237-D816-7890322984B6}</author>
    <author>tc={BA61A231-A21D-9C01-9AC4-A706388238AF}</author>
    <author>tc={BE29BC93-7298-3B4C-1100-CDA34352B12C}</author>
  </authors>
  <commentList>
    <comment ref="F2" authorId="0" shapeId="0" xr:uid="{00000000-0006-0000-01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0-100主观求职辨识度。综合分来自学校/学科/城市/招聘触达判断；量化与数据列作行业修正。</t>
      </text>
    </comment>
    <comment ref="AI2" authorId="1" shapeId="0" xr:uid="{00000000-0006-0000-0100-000002000000}">
      <text>
        <t>[线程批注]
你的Excel版本可读取此线程批注; 但如果在更新版本的Excel中打开文件，则对批注所作的任何改动都将被删除。了解详细信息: https://go.microsoft.com/fwlink/?linkid=870924
注释:
    只对AD:AH中有数值的年份求平均；国家线底线且院线未核的年份为空，不参与。</t>
      </text>
    </comment>
    <comment ref="AZ2" authorId="2" shapeId="0" xr:uid="{00000000-0006-0000-0100-000003000000}">
      <text>
        <t>[线程批注]
你的Excel版本可读取此线程批注; 但如果在更新版本的Excel中打开文件，则对批注所作的任何改动都将被删除。了解详细信息: https://go.microsoft.com/fwlink/?linkid=870924
注释:
    双非相关字段为空是“不可计算”，不是0。</t>
      </text>
    </comment>
    <comment ref="BN2" authorId="3" shapeId="0" xr:uid="{00000000-0006-0000-0100-000004000000}">
      <text>
        <t>[线程批注]
你的Excel版本可读取此线程批注; 但如果在更新版本的Excel中打开文件，则对批注所作的任何改动都将被删除。了解详细信息: https://go.microsoft.com/fwlink/?linkid=870924
注释:
    机构维护的真题年份目录只用于发现线索；未阅读到卷面时不计作已核真题。</t>
      </text>
    </comment>
    <comment ref="BP2" authorId="4" shapeId="0" xr:uid="{00000000-0006-0000-0100-000005000000}">
      <text>
        <t>[线程批注]
你的Excel版本可读取此线程批注; 但如果在更新版本的Excel中打开文件，则对批注所作的任何改动都将被删除。了解详细信息: https://go.microsoft.com/fwlink/?linkid=870924
注释:
    完整份数含明确标注的完整回忆版；BQ单列其中学校官网完整原卷数。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tc={558E2EA9-2FED-0CBE-0F77-ABCB07598E9F}</author>
  </authors>
  <commentList>
    <comment ref="A1" authorId="0" shapeId="0" xr:uid="{00000000-0006-0000-02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一校一年一行；行级来源和证据质量均保留。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tc={88F1C7AB-14CC-886C-FC54-8F92356D0D04}</author>
  </authors>
  <commentList>
    <comment ref="A1" authorId="0" shapeId="0" xr:uid="{00000000-0006-0000-03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只纳入标题含432定向班的文章；南昌大学重复一篇。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tc={813FBD6C-AD4E-0A30-D30A-1A22453F3F8E}</author>
  </authors>
  <commentList>
    <comment ref="A1" authorId="0" shapeId="0" xr:uid="{00000000-0006-0000-04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行级链接另见年度线与录取、卡方432索引。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tc={D4C27EEF-1B2E-DE20-2807-F8B98BE134B4}</author>
  </authors>
  <commentList>
    <comment ref="A1" authorId="0" shapeId="0" xr:uid="{00000000-0006-0000-05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任何不可核字段宁可留空，不用推断补齐。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tc={AA387317-445A-B4D6-AD20-FC2CBA25B5BA}</author>
  </authors>
  <commentList>
    <comment ref="A1" authorId="0" shapeId="0" xr:uid="{00000000-0006-0000-06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题型结论只来自本表的可读卷面/大纲；不完整片段不外推整卷，旧卷不直接外推2026。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tc={E19A373E-CD44-C3C9-3F83-3E86FFCC9D0F}</author>
  </authors>
  <commentList>
    <comment ref="A1" authorId="0" shapeId="0" xr:uid="{00000000-0006-0000-07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索引命中不等于已取得原卷，也不等于卷面完整；只用于后续定向检索。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tc={E9F64CD3-7910-E1FA-19BD-9D6E1119B925}</author>
  </authors>
  <commentList>
    <comment ref="A1" authorId="0" shapeId="0" xr:uid="{00000000-0006-0000-08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高优先级通常是拟录取名单/复试名单未闭合；空白不是0，也不用低权重网文强行填满。</t>
      </text>
    </comment>
  </commentList>
</comments>
</file>

<file path=xl/sharedStrings.xml><?xml version="1.0" encoding="utf-8"?>
<sst xmlns="http://schemas.openxmlformats.org/spreadsheetml/2006/main" count="8604" uniqueCount="2482">
  <si>
    <t>中国大陆 985/211 院校 · 应用统计硕士（025200）研究表</t>
  </si>
  <si>
    <t>关键指标</t>
  </si>
  <si>
    <t>数值</t>
  </si>
  <si>
    <t>先读这几条</t>
  </si>
  <si>
    <t>2026目录确认学校</t>
  </si>
  <si>
    <t>1</t>
  </si>
  <si>
    <t>证据优先级：官方最新 &gt; 机构最新 &gt; 官方旧 &gt; 机构旧；冲突时保留高优先级值。</t>
  </si>
  <si>
    <t>其中985</t>
  </si>
  <si>
    <t>2</t>
  </si>
  <si>
    <t>主表一校一行。多学院/方向的复试线在“年度线与录取”保留明细；用于均值的数字取最高普通全日制线。</t>
  </si>
  <si>
    <t>机构历年真题年份索引命中</t>
  </si>
  <si>
    <t>72/81</t>
  </si>
  <si>
    <t>3</t>
  </si>
  <si>
    <t>红/黄或“待核”不是零，而是当前公开证据不能支持结论。国家线底线不冒充学院线。</t>
  </si>
  <si>
    <t>可核完整卷（含回忆版）</t>
  </si>
  <si>
    <t>4</t>
  </si>
  <si>
    <t>题型结论只来自可直接阅读的原卷、明确标注的回忆版/解析或官方大纲；机构海报不再用于判断题型。</t>
  </si>
  <si>
    <t>其中官方完整原卷</t>
  </si>
  <si>
    <t>5</t>
  </si>
  <si>
    <t>机构“有2016—2025真题”等年份索引只是检索线索；未逐份读到原卷时，不计入完整真题份数。</t>
  </si>
  <si>
    <t>可计算拟录取分布的学校-年份</t>
  </si>
  <si>
    <t>6</t>
  </si>
  <si>
    <t>官方拟录取名单未披露本科院校时，双非占比、分数和溢出率留空；不按姓名、考号或社交平台反推。</t>
  </si>
  <si>
    <t>可计算复录比的学校</t>
  </si>
  <si>
    <t>7</t>
  </si>
  <si>
    <t>Title/量化/数据HR分是求职情景主观指数，不是官方排名，也不代表录取难度或教学质量。</t>
  </si>
  <si>
    <t>核验日期</t>
  </si>
  <si>
    <t>2026-08-13</t>
  </si>
  <si>
    <t>8</t>
  </si>
  <si>
    <t>“字段缺口审计”逐校列出未补齐内容和下一官方检索渠道；后续补数可按高/中/低优先级推进。</t>
  </si>
  <si>
    <t>量化金融HR辨识度（主观）</t>
  </si>
  <si>
    <t>分</t>
  </si>
  <si>
    <t>互联网数据分析HR辨识度（主观）</t>
  </si>
  <si>
    <t>证据状态图例</t>
  </si>
  <si>
    <t>清华大学</t>
  </si>
  <si>
    <t>官方</t>
  </si>
  <si>
    <t>学校/学院/教育部/研招网原始页面</t>
  </si>
  <si>
    <t>复旦大学</t>
  </si>
  <si>
    <t>上海交通大学</t>
  </si>
  <si>
    <t>机构</t>
  </si>
  <si>
    <t>卡方、就现在考研、希赛、路灯等公开资料；只作补齐/交叉验证</t>
  </si>
  <si>
    <t>待核</t>
  </si>
  <si>
    <t>未取得可直接验证的最新官方细则或名单</t>
  </si>
  <si>
    <t>中国人民大学</t>
  </si>
  <si>
    <t>中国科学技术大学</t>
  </si>
  <si>
    <t>空白</t>
  </si>
  <si>
    <t>不可计算，不代表0</t>
  </si>
  <si>
    <t>上海财经大学</t>
  </si>
  <si>
    <t>南京大学</t>
  </si>
  <si>
    <t>优先级</t>
  </si>
  <si>
    <t>官方最新 &gt; 机构最新 &gt; 官方旧 &gt; 机构旧</t>
  </si>
  <si>
    <t>西安交通大学</t>
  </si>
  <si>
    <t>武汉大学</t>
  </si>
  <si>
    <t>中山大学</t>
  </si>
  <si>
    <t>华中科技大学</t>
  </si>
  <si>
    <t>西南财经大学</t>
  </si>
  <si>
    <t>厦门大学</t>
  </si>
  <si>
    <t>哈尔滨工业大学</t>
  </si>
  <si>
    <t>身份与培养单位</t>
  </si>
  <si>
    <t>就业收益（主观情景）</t>
  </si>
  <si>
    <t>初试科目、官方教材与机构课程线索</t>
  </si>
  <si>
    <t>复试</t>
  </si>
  <si>
    <t>近5年复试线</t>
  </si>
  <si>
    <t>拟录取与本科背景</t>
  </si>
  <si>
    <t>地理位置</t>
  </si>
  <si>
    <t>学制学费与状态</t>
  </si>
  <si>
    <t>历年真题与官方大纲证据</t>
  </si>
  <si>
    <t>学校</t>
  </si>
  <si>
    <t>985</t>
  </si>
  <si>
    <t>211</t>
  </si>
  <si>
    <t>2026招生学院/单位</t>
  </si>
  <si>
    <t>学习方式</t>
  </si>
  <si>
    <t>Title综合分</t>
  </si>
  <si>
    <t>量化金融HR分</t>
  </si>
  <si>
    <t>互联网数据HR分</t>
  </si>
  <si>
    <t>评分档</t>
  </si>
  <si>
    <t>评分理由</t>
  </si>
  <si>
    <t>政治</t>
  </si>
  <si>
    <t>英语</t>
  </si>
  <si>
    <t>数学/经综</t>
  </si>
  <si>
    <t>专业课</t>
  </si>
  <si>
    <t>官方范围说明</t>
  </si>
  <si>
    <t>官方指定教材</t>
  </si>
  <si>
    <t>官方教材状态</t>
  </si>
  <si>
    <t>432覆盖</t>
  </si>
  <si>
    <t>432文章数</t>
  </si>
  <si>
    <t>取得海报数</t>
  </si>
  <si>
    <t>机构课程/教材线索（非官方）</t>
  </si>
  <si>
    <t>机构课程结构标签（不用于真题判断）</t>
  </si>
  <si>
    <t>机构线索说明</t>
  </si>
  <si>
    <t>复试科目</t>
  </si>
  <si>
    <t>复试笔试</t>
  </si>
  <si>
    <t>复试面试</t>
  </si>
  <si>
    <t>复试信息新鲜度</t>
  </si>
  <si>
    <t>最新复录比</t>
  </si>
  <si>
    <t>复录比年份</t>
  </si>
  <si>
    <t>2022复试线</t>
  </si>
  <si>
    <t>2023复试线</t>
  </si>
  <si>
    <t>2024复试线</t>
  </si>
  <si>
    <t>2025复试线</t>
  </si>
  <si>
    <t>2026复试线</t>
  </si>
  <si>
    <t>5年线均值</t>
  </si>
  <si>
    <t>5年线标准差</t>
  </si>
  <si>
    <t>有效年份N</t>
  </si>
  <si>
    <t>分数线证据层级</t>
  </si>
  <si>
    <t>22拟录取最低</t>
  </si>
  <si>
    <t>23拟录取最低</t>
  </si>
  <si>
    <t>24拟录取最低</t>
  </si>
  <si>
    <t>25拟录取最低</t>
  </si>
  <si>
    <t>26拟录取最低</t>
  </si>
  <si>
    <t>22拟录取中位</t>
  </si>
  <si>
    <t>23拟录取中位</t>
  </si>
  <si>
    <t>24拟录取中位</t>
  </si>
  <si>
    <t>25拟录取中位</t>
  </si>
  <si>
    <t>26拟录取中位</t>
  </si>
  <si>
    <t>拟录取可得年份</t>
  </si>
  <si>
    <t>可得样本最低</t>
  </si>
  <si>
    <t>可得样本中位</t>
  </si>
  <si>
    <t>双非占比</t>
  </si>
  <si>
    <t>双非最低</t>
  </si>
  <si>
    <t>双非中位</t>
  </si>
  <si>
    <t>双非分数溢出率</t>
  </si>
  <si>
    <t>本科背景状态</t>
  </si>
  <si>
    <t>学院校区地址（到区）</t>
  </si>
  <si>
    <t>市中心地标</t>
  </si>
  <si>
    <t>公共交通通勤</t>
  </si>
  <si>
    <t>通勤口径</t>
  </si>
  <si>
    <t>学制</t>
  </si>
  <si>
    <t>学费</t>
  </si>
  <si>
    <t>学费新鲜度</t>
  </si>
  <si>
    <t>资料完整度</t>
  </si>
  <si>
    <t>机构真题索引年份（仅线索）</t>
  </si>
  <si>
    <t>可核卷年份</t>
  </si>
  <si>
    <t>可核完整原卷/回忆版份数</t>
  </si>
  <si>
    <t>其中官方完整原卷份数</t>
  </si>
  <si>
    <t>真题题型统计</t>
  </si>
  <si>
    <t>真题偏向结论</t>
  </si>
  <si>
    <t>真题证据等级</t>
  </si>
  <si>
    <t>最新官方大纲题型</t>
  </si>
  <si>
    <t>真题/大纲来源</t>
  </si>
  <si>
    <t>是</t>
  </si>
  <si>
    <t>数学科学系；统计与数据科学系</t>
  </si>
  <si>
    <t>全日制；非全日制</t>
  </si>
  <si>
    <t>S</t>
  </si>
  <si>
    <t>全国最高辨识度，量化与数据岗位简历强信号</t>
  </si>
  <si>
    <t>101思想政治理论</t>
  </si>
  <si>
    <t>英语二</t>
  </si>
  <si>
    <t>数学三</t>
  </si>
  <si>
    <t>432统计学</t>
  </si>
  <si>
    <t>432统计学；目录未列指定书目</t>
  </si>
  <si>
    <t>2026研招目录未列指定教材</t>
  </si>
  <si>
    <t>官方目录未指定；不以机构书单冒充官方</t>
  </si>
  <si>
    <t>理论与应用计算并重线索</t>
  </si>
  <si>
    <t>专业综合笔试；综合面试（具体笔试范围见当年细则）</t>
  </si>
  <si>
    <t>有</t>
  </si>
  <si>
    <t>2026官方</t>
  </si>
  <si>
    <t>2022:机构汇总（二次核验）；2023:官方；2024:机构公开汇总（二次核验）；2025:机构公开汇总（二次核验）；2026:官方学院</t>
  </si>
  <si>
    <t>公开拟录取名单通常不披露本科院校，无法可靠计算；未按姓名/考号猜测</t>
  </si>
  <si>
    <t>北京海淀区清华园</t>
  </si>
  <si>
    <t>北京天安门</t>
  </si>
  <si>
    <t>北京天安门：约35–55分钟</t>
  </si>
  <si>
    <t>基于公开校址与常规地铁/公交路网的非实时区间估算；早晚高峰和多校区需另核</t>
  </si>
  <si>
    <t>2年</t>
  </si>
  <si>
    <t>2.8万元/年</t>
  </si>
  <si>
    <t>2023机构基线；报考前须核最新</t>
  </si>
  <si>
    <t>中</t>
  </si>
  <si>
    <t>2016-2025</t>
  </si>
  <si>
    <t>未核到可直接阅读的原卷/回忆卷</t>
  </si>
  <si>
    <t>未判断</t>
  </si>
  <si>
    <t>无可读卷证据</t>
  </si>
  <si>
    <t>未核到最新官方题型说明</t>
  </si>
  <si>
    <t>数学科学学院；上海数学中心；大数据学院；上海数学与交叉学科研究院</t>
  </si>
  <si>
    <t>全日制</t>
  </si>
  <si>
    <t>华五，金融与数据岗位顶级辨识度</t>
  </si>
  <si>
    <t>2027官方432大纲：概率论、描述统计、统计量及抽样分布、参数估计、假设检验、方差分析、回归、时间序列；闭卷且禁止使用计算器</t>
  </si>
  <si>
    <t>茆诗松、程依明、濮晓龙、倪葎《概率论与数理统计教程》第4版（高等教育出版社，2026）；贾俊平、何晓群、金勇进《统计学》第9版（中国人民大学出版社，2025）</t>
  </si>
  <si>
    <t>2027官方考试大纲指定</t>
  </si>
  <si>
    <t>四个025200培养单位均为现场综合面试：专业知识/能力、外语听说、综合素质等；各单位权重略有差异</t>
  </si>
  <si>
    <t>普通考生无；同等学力须笔试加试两门本科主干课程</t>
  </si>
  <si>
    <t>2026四培养单位官方细则</t>
  </si>
  <si>
    <t>2022:机构汇总（二次核验）；2023:官方；2024-2025:机构公开汇总（二次核验）；2026:学校官方</t>
  </si>
  <si>
    <t>数学科学学院/大数据学院：邯郸校区（上海市杨浦区邯郸路220号）；上海数学中心：江湾校区（上海市杨浦区淞沪路2005号）；上海数学与交叉学科研究院：上海市杨浦区淞沪路657号</t>
  </si>
  <si>
    <t>上海人民广场</t>
  </si>
  <si>
    <t>上海人民广场：各培养单位约35–55分钟</t>
  </si>
  <si>
    <t>四个培养单位均在杨浦区；按公开地址与常规公共交通路网估算，非实时导航。</t>
  </si>
  <si>
    <t>10.9万元/年</t>
  </si>
  <si>
    <t>2023；2016-2025</t>
  </si>
  <si>
    <t>2022（非官方完整回忆/解析）；2027（官方大纲，非真题）</t>
  </si>
  <si>
    <t>2027官方：单选50、简答40、计算与分析60；2022非官方解析呈现11道理论、计算与推导题</t>
  </si>
  <si>
    <t>偏应用/计算，兼顾理论（以2027官方大纲为准）</t>
  </si>
  <si>
    <t>A：2027官方大纲；C：2022非官方公开重构</t>
  </si>
  <si>
    <t>2027官方：单选25题×2=50；简答4题×10=40；计算与分析3题×20=60；闭卷、禁用计算器</t>
  </si>
  <si>
    <t>https://scms.fudan.edu.cn/info/1047/12891.htm ; https://www.cnblogs.com/yecheng97/p/15823058.html</t>
  </si>
  <si>
    <t>数学科学学院</t>
  </si>
  <si>
    <t>华五，量化与数据岗位顶级辨识度</t>
  </si>
  <si>
    <t>英语一</t>
  </si>
  <si>
    <t>未形成可靠判断</t>
  </si>
  <si>
    <t>2022:机构汇总（二次核验）；2023:官方；2024:机构公开汇总（二次核验）；2025:机构公开汇总（二次核验）；2026:官方</t>
  </si>
  <si>
    <t>上海闵行区闵行校区</t>
  </si>
  <si>
    <t>上海人民广场：约55–75分钟</t>
  </si>
  <si>
    <t>10万元/年</t>
  </si>
  <si>
    <t>2026机构公开页，待官网复核</t>
  </si>
  <si>
    <t>2012-2025</t>
  </si>
  <si>
    <t>2013（回忆版）；2022（片段）</t>
  </si>
  <si>
    <t>2013回忆版：单选60、简答40、计算/分析50；2022仅见选择题片段</t>
  </si>
  <si>
    <t>混合型、计算权重较高（低置信度；旧回忆版）</t>
  </si>
  <si>
    <t>C：非官方回忆版/片段</t>
  </si>
  <si>
    <t>未核到2026官方题型说明</t>
  </si>
  <si>
    <t>https://download.kaoyan.com/download-1065750p1 ; https://www.kyzs.com/article/16823.html</t>
  </si>
  <si>
    <t>数学学院</t>
  </si>
  <si>
    <t>华五，数据与量化岗位顶级辨识度</t>
  </si>
  <si>
    <t>《应用数理统计》（孙荣恒，第3版）；《应用多元统计分析》（高惠璇）；《概率论基础》（李贤平，第3版）；《时间序列分析及应用（R语言）》（Cryer/Chan，第2版）</t>
  </si>
  <si>
    <t>2025官方参考书；2026目录未见新版，须考前复核</t>
  </si>
  <si>
    <t>大学数学（微积分、线性代数）+概率论与数理统计；面试</t>
  </si>
  <si>
    <t>2025官方书目；2026形式由官方细则确认</t>
  </si>
  <si>
    <t>2022:机构汇总（二次核验）；2023:官方学院；2024:机构公开汇总（二次核验）；2025:机构公开汇总（二次核验）；2026:官方学院</t>
  </si>
  <si>
    <t>江苏南京栖霞区仙林校区</t>
  </si>
  <si>
    <t>南京新街口</t>
  </si>
  <si>
    <t>南京新街口：约45–60分钟</t>
  </si>
  <si>
    <t>1万元/年</t>
  </si>
  <si>
    <t>2011-2017、2020-2023</t>
  </si>
  <si>
    <t>管理学院</t>
  </si>
  <si>
    <t>C9，数理与量化岗位顶级辨识度</t>
  </si>
  <si>
    <t>2026官方432大纲：概率论、数理统计、回归分析；闭卷且不得使用计算器；题型为填空、选择、解答</t>
  </si>
  <si>
    <t>缪柏其、张伟平《概率论与数理统计》第3版，高等教育出版社，2024</t>
  </si>
  <si>
    <t>2026官方考试大纲指定</t>
  </si>
  <si>
    <t>笔试：英语写作50分、概率论与数理统计150分；面试：专业素质、英语、综合能力</t>
  </si>
  <si>
    <t>2022:机构汇总（二次核验）；2023:学校线二次转载；2024-2025:机构公开汇总（二次核验）；2026:官方学院</t>
  </si>
  <si>
    <t>安徽合肥包河区东校区</t>
  </si>
  <si>
    <t>合肥四牌楼</t>
  </si>
  <si>
    <t>合肥四牌楼：约25–45分钟</t>
  </si>
  <si>
    <t>3年</t>
  </si>
  <si>
    <t>12万元/全程</t>
  </si>
  <si>
    <t>2012-2024</t>
  </si>
  <si>
    <t>A：2026官方大纲；未核到可读原卷</t>
  </si>
  <si>
    <t>2026官方：填空、选择、解答；未公布分值占比</t>
  </si>
  <si>
    <t>https://yz.ustc.edu.cn/static/upload/article/ueditor/e46ee8c77b754548b9f1eadaa3278b21.pdf</t>
  </si>
  <si>
    <t>统计学院；统计与大数据研究院</t>
  </si>
  <si>
    <t>全国顶尖人文社科品牌，统计学雇主辨识度极高</t>
  </si>
  <si>
    <t>432含概率论、数理统计及统计学基本方法；目录未列指定书目</t>
  </si>
  <si>
    <t>混合型线索（简答+理论+应用计算）</t>
  </si>
  <si>
    <t>专业课笔试、外语笔试、专业和综合素质面试、外语面试</t>
  </si>
  <si>
    <t>2025官方</t>
  </si>
  <si>
    <t>2022:机构汇总（二次核验）；2023:官方；2024:机构公开汇总（二次核验）；2025:官方学院；2026:机构公开汇总（二次核验）</t>
  </si>
  <si>
    <t>北京海淀区（明德主楼）；两院均在中关村校区</t>
  </si>
  <si>
    <t>2.5万元/年</t>
  </si>
  <si>
    <t>2026官方招生简章</t>
  </si>
  <si>
    <t>2011-2025</t>
  </si>
  <si>
    <t>否</t>
  </si>
  <si>
    <t>数学学院；统计与数据科学学院</t>
  </si>
  <si>
    <t>财经院校顶级品牌，量化金融辨识度超过多数985</t>
  </si>
  <si>
    <t>统计学院：机试+面试；数学学院：笔试+面试。数学学院复试书目含统计计算、机器学习</t>
  </si>
  <si>
    <t>有（含机试）</t>
  </si>
  <si>
    <t>机构公开页，待官网复核</t>
  </si>
  <si>
    <t>2022:机构汇总（二次核验）；2023:国家线底线/院线缺失；2024:学校公开报录报告镜像；2025:机构公开汇总（二次核验）；2026:机构公开汇总（二次核验）</t>
  </si>
  <si>
    <t>上海杨浦区国定路校区</t>
  </si>
  <si>
    <t>上海人民广场：约30–45分钟</t>
  </si>
  <si>
    <t>上财-波士顿大学数理金融和金融科技硕士：1.5+1.5 其他：2年</t>
  </si>
  <si>
    <t>低</t>
  </si>
  <si>
    <t>数学与统计学院</t>
  </si>
  <si>
    <t>全国顶尖综合名校，数据/量化岗位高辨识度</t>
  </si>
  <si>
    <t>2022:机构汇总（二次核验）；2023:官方；2024:机构公开汇总（二次核验）；2025:机构公开汇总（二次核验）；2026:机构公开汇总（二次核验）</t>
  </si>
  <si>
    <t>湖北武汉武昌区珞珈山校区</t>
  </si>
  <si>
    <t>武汉江汉路</t>
  </si>
  <si>
    <t>武汉江汉路：约35–50分钟</t>
  </si>
  <si>
    <t>1.3万元/年</t>
  </si>
  <si>
    <t>2011-2015、2017-2025</t>
  </si>
  <si>
    <t>数学与统计学院；经济与金融学院</t>
  </si>
  <si>
    <t>C9，量化与数据岗位高辨识度</t>
  </si>
  <si>
    <t>陕西西安碑林区兴庆校区；雁塔区财经校区</t>
  </si>
  <si>
    <t>西安钟楼</t>
  </si>
  <si>
    <t>西安钟楼：约20–35分钟</t>
  </si>
  <si>
    <t>未公布/当年未招</t>
  </si>
  <si>
    <t>1.32万元/年</t>
  </si>
  <si>
    <t>2015-2025</t>
  </si>
  <si>
    <t>A</t>
  </si>
  <si>
    <t>头部985工科品牌，数据岗位高辨识度</t>
  </si>
  <si>
    <t>高等数学、线性代数、概率论与数理统计笔试；综合面试</t>
  </si>
  <si>
    <t>湖北武汉洪山区主校区</t>
  </si>
  <si>
    <t>武汉江汉路：约45–65分钟</t>
  </si>
  <si>
    <t>4.5万元/年</t>
  </si>
  <si>
    <t>2026招生文件公开镜像，待官网复核</t>
  </si>
  <si>
    <t>2012、2014、2016、2018-2025</t>
  </si>
  <si>
    <t>广州数学学院；数学学院（珠海）</t>
  </si>
  <si>
    <t>华南顶级名校，数据/金融岗位高辨识度</t>
  </si>
  <si>
    <t>广东广州海珠区；广东珠海香洲区</t>
  </si>
  <si>
    <t>广州珠江新城；珠海拱北口岸</t>
  </si>
  <si>
    <t>广州珠江新城：约30–50分钟；珠海拱北口岸：约35–60分钟</t>
  </si>
  <si>
    <t>2.25万元/年</t>
  </si>
  <si>
    <t>2011-2018；2011-2024</t>
  </si>
  <si>
    <t>数学学院（含苏州基地）</t>
  </si>
  <si>
    <t>C9品牌，数据与技术岗位全国高辨识度</t>
  </si>
  <si>
    <t>黑龙江哈尔滨南岗区；江苏苏州吴江区</t>
  </si>
  <si>
    <t>哈尔滨中央大街；苏州观前街</t>
  </si>
  <si>
    <t>哈尔滨中央大街：约25–40分钟；苏州观前街：约55–80分钟</t>
  </si>
  <si>
    <t>2~3年</t>
  </si>
  <si>
    <t>0.8万元/年</t>
  </si>
  <si>
    <t>2012、2017、2020-2025</t>
  </si>
  <si>
    <t>统计与数据科学学院</t>
  </si>
  <si>
    <t>财经顶级211，量化金融辨识度显著高于多数985</t>
  </si>
  <si>
    <t>2022:机构汇总（二次核验）；2023:官方历史查询；2024:机构公开汇总（二次核验）；2025:机构公开汇总（二次核验）；2026:机构公开汇总（二次核验）</t>
  </si>
  <si>
    <t>四川成都温江区柳林校区</t>
  </si>
  <si>
    <t>成都天府广场</t>
  </si>
  <si>
    <t>成都天府广场：约60–85分钟</t>
  </si>
  <si>
    <t>1.8万元/年</t>
  </si>
  <si>
    <t>2013-2025</t>
  </si>
  <si>
    <t>华东师范大学</t>
  </si>
  <si>
    <t>统计学院</t>
  </si>
  <si>
    <t>统计学强校，上海数据/金融岗位辨识度很高</t>
  </si>
  <si>
    <t>7.9万元/年</t>
  </si>
  <si>
    <t>统计学与数据科学系；王亚南经济研究院</t>
  </si>
  <si>
    <t>统计学传统强校，金融与数据岗位辨识度很高</t>
  </si>
  <si>
    <t>英语一；英语二</t>
  </si>
  <si>
    <t>数学三；396经综</t>
  </si>
  <si>
    <t>432统计学；两院公共课组合不同，目录未列指定书目</t>
  </si>
  <si>
    <t>英语财经翻译、政治经济学笔试；综合面试</t>
  </si>
  <si>
    <t>福建厦门思明区思明校区</t>
  </si>
  <si>
    <t>厦门中山路</t>
  </si>
  <si>
    <t>厦门中山路：约20–35分钟</t>
  </si>
  <si>
    <t>1.1万元/年</t>
  </si>
  <si>
    <t>中央财经大学</t>
  </si>
  <si>
    <t>统计与数学学院</t>
  </si>
  <si>
    <t>两财一贸，金融/量化岗位辨识度显著高于多数985</t>
  </si>
  <si>
    <t>2022:机构汇总（二次核验）；2023:公开汇总，待官网复核；2024:机构公开汇总（二次核验）；2025:机构公开汇总（二次核验）；2026:机构公开汇总（二次核验）</t>
  </si>
  <si>
    <t>北京海淀区学院南路；北京昌平区沙河校区</t>
  </si>
  <si>
    <t>北京天安门：约55–80分钟</t>
  </si>
  <si>
    <t>东南大学</t>
  </si>
  <si>
    <t>头部985工科品牌，数据岗位辨识度很高</t>
  </si>
  <si>
    <t>江苏南京江宁区九龙湖校区</t>
  </si>
  <si>
    <t>南京新街口：约50–70分钟</t>
  </si>
  <si>
    <t>2011-2019、2022、2025</t>
  </si>
  <si>
    <t>西北工业大学</t>
  </si>
  <si>
    <t>国防工科头部985，技术数据岗位高辨识度</t>
  </si>
  <si>
    <t>未覆盖</t>
  </si>
  <si>
    <t>该校不在本批432定向班覆盖中</t>
  </si>
  <si>
    <t>陕西西安长安区长安校区</t>
  </si>
  <si>
    <t>西安钟楼：约55–80分钟</t>
  </si>
  <si>
    <t>2023</t>
  </si>
  <si>
    <t>对外经济贸易大学</t>
  </si>
  <si>
    <t>两财一贸，金融与商业分析岗位辨识度很高</t>
  </si>
  <si>
    <t>432参照教育部考试大纲；学校目录未指定教材</t>
  </si>
  <si>
    <t>2022:机构汇总（二次核验）；2023:国家线底线/院线缺失；2024:机构公开汇总（二次核验）；2025:机构公开汇总（二次核验）；2026:机构公开汇总（二次核验）</t>
  </si>
  <si>
    <t>北京朝阳区惠新东街校区</t>
  </si>
  <si>
    <t>北京天安门：约25–45分钟</t>
  </si>
  <si>
    <t>同济大学</t>
  </si>
  <si>
    <t>上海头部985，数据岗位辨识度很高</t>
  </si>
  <si>
    <t>2022:机构汇总（二次核验）；2023:官方；2024:缺失；2025:机构公开汇总（二次核验）；2026:机构公开汇总（二次核验）</t>
  </si>
  <si>
    <t>上海杨浦区四平路校区</t>
  </si>
  <si>
    <t>2025</t>
  </si>
  <si>
    <t>中南财经政法大学</t>
  </si>
  <si>
    <t>财经政法强校，金融/量化岗位辨识度很高</t>
  </si>
  <si>
    <t>湖北武汉江夏区南湖校区</t>
  </si>
  <si>
    <t>武汉江汉路：约55–80分钟</t>
  </si>
  <si>
    <t>2.4万元/年</t>
  </si>
  <si>
    <t>国防科技大学</t>
  </si>
  <si>
    <t>理学院</t>
  </si>
  <si>
    <t>顶尖军校技术品牌；就业场景和身份要求特殊</t>
  </si>
  <si>
    <t>2022:缺失；2023:国家线底线/院线缺失；2024:机构公开汇总（二次核验）；2025:机构公开汇总（二次核验）；2026:机构公开汇总（二次核验）</t>
  </si>
  <si>
    <t>湖南长沙开福区三号院</t>
  </si>
  <si>
    <t>长沙五一广场</t>
  </si>
  <si>
    <t>长沙五一广场：约25–45分钟</t>
  </si>
  <si>
    <t>未在2023基线表检出</t>
  </si>
  <si>
    <t>缺失/待官网</t>
  </si>
  <si>
    <t>未收录</t>
  </si>
  <si>
    <t>四川大学</t>
  </si>
  <si>
    <t>经济学院；数学学院</t>
  </si>
  <si>
    <t>西部头部985，全国辨识度高</t>
  </si>
  <si>
    <t>四川成都武侯区望江校区</t>
  </si>
  <si>
    <t>成都天府广场：约25–45分钟</t>
  </si>
  <si>
    <t>2023-2025</t>
  </si>
  <si>
    <t>山东大学</t>
  </si>
  <si>
    <t>经济研究院；金融研究院；数据科学研究院；数学与统计学院</t>
  </si>
  <si>
    <t>传统985，全国辨识度高，山东与北方就业强</t>
  </si>
  <si>
    <t>396经综</t>
  </si>
  <si>
    <t>432统计学；2026第三单元为396经综</t>
  </si>
  <si>
    <t>山东济南历城区；山东威海环翠区（部分方向）</t>
  </si>
  <si>
    <t>济南泉城广场；威海威海市政府</t>
  </si>
  <si>
    <t>济南泉城广场：约40–60分钟；威海威海市政府：约25–45分钟</t>
  </si>
  <si>
    <t>(005)经济研究院：2 (020)金融研究院：3 (089)数学与统计学院：3年</t>
  </si>
  <si>
    <t>1.6万元/年</t>
  </si>
  <si>
    <t>2014-2019、2021-2025</t>
  </si>
  <si>
    <t>2015（官方完整原卷）</t>
  </si>
  <si>
    <t>单选60、简答40、计算/分析50，总分150</t>
  </si>
  <si>
    <t>客观题+计算，兼有简答（仅1份旧卷）</t>
  </si>
  <si>
    <t>A：1份官方完整旧卷</t>
  </si>
  <si>
    <t>官方页面提示以后题型可能变化；不得直接外推2026</t>
  </si>
  <si>
    <t>https://qlyxjxgl.sdu.edu.cn/info/1003/1210.htm</t>
  </si>
  <si>
    <t>中南大学</t>
  </si>
  <si>
    <t>中上985，工程与医疗数据方向认可度高</t>
  </si>
  <si>
    <t>湖南长沙岳麓区校本部</t>
  </si>
  <si>
    <t>长沙五一广场：约30–50分钟</t>
  </si>
  <si>
    <t>1.4万元/年</t>
  </si>
  <si>
    <t>北京师范大学</t>
  </si>
  <si>
    <t>B</t>
  </si>
  <si>
    <t>985品牌强，统计/教育测量方向有特色</t>
  </si>
  <si>
    <t>432统计学；学校另有考试大纲，目录不代列参考书</t>
  </si>
  <si>
    <t>2022:机构汇总（二次核验）；2023:官方；2024:机构公开汇总（二次核验）；2025:官方；2026:官方</t>
  </si>
  <si>
    <t>广东珠海香洲区（培养地点明确为珠海）</t>
  </si>
  <si>
    <t>珠海拱北口岸</t>
  </si>
  <si>
    <t>珠海拱北口岸：约35–60分钟</t>
  </si>
  <si>
    <t>5万元/全程</t>
  </si>
  <si>
    <t>吉林大学</t>
  </si>
  <si>
    <t>综合985，东北头部，全国辨识度高</t>
  </si>
  <si>
    <t>吉林长春朝阳区前卫南区</t>
  </si>
  <si>
    <t>长春人民广场</t>
  </si>
  <si>
    <t>长春人民广场：约25–40分钟</t>
  </si>
  <si>
    <t>2012-2013、2015-2018、2021、2023-2025</t>
  </si>
  <si>
    <t>重庆大学</t>
  </si>
  <si>
    <t>西南头部985，工程数据岗位辨识度高</t>
  </si>
  <si>
    <t>432统计学；复试概率论与数理统计</t>
  </si>
  <si>
    <t>概率论与数理统计（科目线索）</t>
  </si>
  <si>
    <t>2026目录/复试细则待补</t>
  </si>
  <si>
    <t>重庆沙坪坝区A校区</t>
  </si>
  <si>
    <t>重庆解放碑</t>
  </si>
  <si>
    <t>重庆解放碑：约45–65分钟</t>
  </si>
  <si>
    <t>大连理工大学</t>
  </si>
  <si>
    <t>主校区数学科学学院</t>
  </si>
  <si>
    <t>传统985工科强校，数据岗位辨识度高</t>
  </si>
  <si>
    <t>辽宁大连甘井子区凌水校区</t>
  </si>
  <si>
    <t>大连青泥洼桥</t>
  </si>
  <si>
    <t>大连青泥洼桥：约45–65分钟</t>
  </si>
  <si>
    <t>2008-2010、2013-2024</t>
  </si>
  <si>
    <t>湖南大学</t>
  </si>
  <si>
    <t>金融与统计学院</t>
  </si>
  <si>
    <t>非全日制</t>
  </si>
  <si>
    <t>985与金融学院品牌，非全培养方式需单独权衡</t>
  </si>
  <si>
    <t>396经济类综合能力</t>
  </si>
  <si>
    <t>2026官方调整：第三单元由303数学三改为396经济类综合能力；第四单元432统计学；培养方式改为非全日制</t>
  </si>
  <si>
    <t>综合面试（现场问答，满分250）：综合素质、专业素质与能力、实践能力、外语听说等</t>
  </si>
  <si>
    <t>无</t>
  </si>
  <si>
    <t>2022:机构汇总（二次核验）；2023:官方；2024-2025:机构公开汇总（二次核验）；2026:官方学院</t>
  </si>
  <si>
    <t>湖南长沙岳麓区财院校区</t>
  </si>
  <si>
    <t>3.6万元/生·年</t>
  </si>
  <si>
    <t>2026官方收费公示</t>
  </si>
  <si>
    <t>西安电子科技大学</t>
  </si>
  <si>
    <t>电子信息强校，互联网/数据岗位辨识度高</t>
  </si>
  <si>
    <t>陕西西安长安区南校区</t>
  </si>
  <si>
    <t>2015-2021</t>
  </si>
  <si>
    <t>兰州大学</t>
  </si>
  <si>
    <t>老牌985，学术认可度高，但地域影响招聘触达</t>
  </si>
  <si>
    <t>甘肃兰州城关区一分部</t>
  </si>
  <si>
    <t>兰州东方红广场</t>
  </si>
  <si>
    <t>兰州东方红广场：约20–35分钟</t>
  </si>
  <si>
    <t>南京航空航天大学</t>
  </si>
  <si>
    <t>国防工科211强校，技术岗位辨识度高</t>
  </si>
  <si>
    <t>2022:缺失；2023:国家线底线/院线缺失；2024:缺失；2025:机构公开汇总（二次核验）；2026:机构公开汇总（二次核验）</t>
  </si>
  <si>
    <t>江苏南京江宁区将军路校区</t>
  </si>
  <si>
    <t>南京理工大学</t>
  </si>
  <si>
    <t>江苏南京玄武区孝陵卫校区</t>
  </si>
  <si>
    <t>南京新街口：约25–40分钟</t>
  </si>
  <si>
    <t>中国海洋大学</t>
  </si>
  <si>
    <t>985标签清晰，海洋特色强，通用数据岗中上</t>
  </si>
  <si>
    <t>山东青岛崂山区鱼山/崂山校区</t>
  </si>
  <si>
    <t>青岛五四广场</t>
  </si>
  <si>
    <t>青岛五四广场：约35–55分钟</t>
  </si>
  <si>
    <t>2015-2016、2018-2025</t>
  </si>
  <si>
    <t>2018、2019、2021（均官方完整原卷）</t>
  </si>
  <si>
    <t>三卷均150分；计算/解答分值分别约85、80、70，另含客观题与少量简答</t>
  </si>
  <si>
    <t>偏应用/计算（3份官方原卷一致）</t>
  </si>
  <si>
    <t>A：3份官方完整原卷</t>
  </si>
  <si>
    <t>未核到2026官方题型说明；以2018/2019/2021原卷作历史证据</t>
  </si>
  <si>
    <t>https://yz.ouc.edu.cn/5924/list.htm</t>
  </si>
  <si>
    <t>暨南大学</t>
  </si>
  <si>
    <t>经济学院；信息科学技术学院</t>
  </si>
  <si>
    <t>华南与商科就业认可度高</t>
  </si>
  <si>
    <t>2026官方432大纲：统计学原理75分；概率论与数理统计75分；闭卷；简答60分、计算90分</t>
  </si>
  <si>
    <t>韩兆洲《统计学原理》第7版（暨南大学出版社，2010）；韩兆洲、王斌会《统计学原理学习指导及Excel数据统计分析》第2版（2011）；《概率论与数理统计教程》第2版（高教，2011）；周纪芗、茆诗松《概率论与数理统计》（中国统计出版社，2007）</t>
  </si>
  <si>
    <t>2026官方考试大纲列示</t>
  </si>
  <si>
    <t>广东广州天河区石牌校区</t>
  </si>
  <si>
    <t>广州珠江新城</t>
  </si>
  <si>
    <t>广州珠江新城：约25–45分钟</t>
  </si>
  <si>
    <t>非定向：2.2 定向：2.8万元/年</t>
  </si>
  <si>
    <t>2024（官方完整结构）；2025（官方部分）</t>
  </si>
  <si>
    <t>2024：简答30、计算/推导120；2025已核第一部分简答30、计算45</t>
  </si>
  <si>
    <t>偏应用/计算；并由2026官方大纲再次确认</t>
  </si>
  <si>
    <t>A：官方原卷+最新官方大纲</t>
  </si>
  <si>
    <t>2026官方：简答60、计算90；统计学原理75+概率论与数理统计75</t>
  </si>
  <si>
    <t>https://yz.jnu.edu.cn/2025/0728/c36355a841104/page.htm</t>
  </si>
  <si>
    <t>北京交通大学</t>
  </si>
  <si>
    <t>经济管理学院；数学与统计学院；在职专业学位中心</t>
  </si>
  <si>
    <t>北京区位强，数据与交通行业认可度较高</t>
  </si>
  <si>
    <t>2022:机构汇总（二次核验）；2023:官方归档/学院线；2024:机构公开汇总（二次核验）；2025:机构公开汇总（二次核验）；2026:官方学院</t>
  </si>
  <si>
    <t>北京海淀区上园村校区</t>
  </si>
  <si>
    <t>2011-2022</t>
  </si>
  <si>
    <t>东北大学</t>
  </si>
  <si>
    <t>理学院（含秦皇岛、佛山方向）</t>
  </si>
  <si>
    <t>985和工科品牌清晰，数据岗位认可度中上</t>
  </si>
  <si>
    <t>辽宁沈阳和平区；河北秦皇岛海港区；广东佛山南海区</t>
  </si>
  <si>
    <t>沈阳中街；秦皇岛人民广场</t>
  </si>
  <si>
    <t>沈阳中街：约25–40分钟；秦皇岛人民广场：约25–45分钟</t>
  </si>
  <si>
    <t>2014-2025</t>
  </si>
  <si>
    <t>华东理工大学</t>
  </si>
  <si>
    <t>上海211工科强校，区域就业辨识度较高</t>
  </si>
  <si>
    <t>上海徐汇区梅陇校区；奉贤区海湾校区</t>
  </si>
  <si>
    <t>上海大学</t>
  </si>
  <si>
    <t>经济学院；理学院</t>
  </si>
  <si>
    <t>上海211与区位加成，数据岗位辨识度较高</t>
  </si>
  <si>
    <t>上海宝山区宝山校区</t>
  </si>
  <si>
    <t>上海人民广场：约50–70分钟</t>
  </si>
  <si>
    <t>6万元/年</t>
  </si>
  <si>
    <t>2024-2025</t>
  </si>
  <si>
    <t>苏州大学</t>
  </si>
  <si>
    <t>长三角认可度高，区位和综合实力加成</t>
  </si>
  <si>
    <t>江苏苏州姑苏区天赐庄校区</t>
  </si>
  <si>
    <t>苏州观前街</t>
  </si>
  <si>
    <t>苏州观前街：约15–30分钟</t>
  </si>
  <si>
    <t>2021（仅第一页片段）</t>
  </si>
  <si>
    <t>已见填空30、名词解释22；其余不可见</t>
  </si>
  <si>
    <t>证据不足，不能判断整卷偏向</t>
  </si>
  <si>
    <t>C：非官方不完整片段</t>
  </si>
  <si>
    <t>https://doc.quark.cn/preview/jiaoyukaoshi-shijuan-kaoyan/7E348406DCDAA2CA19C4B6281F5D1F12</t>
  </si>
  <si>
    <t>河海大学</t>
  </si>
  <si>
    <t>数学学院；前沿交叉科学研究院</t>
  </si>
  <si>
    <t>水利强校，通用数据岗位辨识度中上</t>
  </si>
  <si>
    <t>江苏南京江宁区江宁校区</t>
  </si>
  <si>
    <t>2015-2021、2023-2025</t>
  </si>
  <si>
    <t>武汉理工大学</t>
  </si>
  <si>
    <t>规模大、工科强，数据岗位辨识度中上</t>
  </si>
  <si>
    <t>湖北武汉洪山区马房山校区；襄阳专项</t>
  </si>
  <si>
    <t>东北师范大学</t>
  </si>
  <si>
    <t>C</t>
  </si>
  <si>
    <t>师范头部，统计学学科认可度高于学校通用金融品牌</t>
  </si>
  <si>
    <t>英语二（可俄/日）</t>
  </si>
  <si>
    <t>432统计学；复试统计建模</t>
  </si>
  <si>
    <t>统计建模</t>
  </si>
  <si>
    <t>2026目录线索</t>
  </si>
  <si>
    <t>吉林长春南关区净月校区</t>
  </si>
  <si>
    <t>长春人民广场：约40–60分钟</t>
  </si>
  <si>
    <t>东华大学</t>
  </si>
  <si>
    <t>数学与统计学院；应用统计专业学位教育中心</t>
  </si>
  <si>
    <t>上海区位加成明显，通用数据岗位中上</t>
  </si>
  <si>
    <t>上海松江区松江校区</t>
  </si>
  <si>
    <t>上海人民广场：约65–90分钟</t>
  </si>
  <si>
    <t>2~4年</t>
  </si>
  <si>
    <t>5万元/年</t>
  </si>
  <si>
    <t>2019-2025</t>
  </si>
  <si>
    <t>北京工业大学</t>
  </si>
  <si>
    <t>数学统计学与力学学院</t>
  </si>
  <si>
    <t>北京本地认可度较好，全国辨识度中上</t>
  </si>
  <si>
    <t>2022:机构汇总（二次核验）；2023:国家线底线/院线缺失；2024:机构公开汇总（二次核验）；2025:官方；2026:机构公开汇总（二次核验）</t>
  </si>
  <si>
    <t>北京朝阳区平乐园校区</t>
  </si>
  <si>
    <t>2012-2022、2024-2025</t>
  </si>
  <si>
    <t>合肥工业大学</t>
  </si>
  <si>
    <t>工科211强校，技术数据岗辨识度中上</t>
  </si>
  <si>
    <t>432统计学；2026最新交互目录存在，但本轮未稳定读取附件内题型/书目</t>
  </si>
  <si>
    <t>贾俊平等《统计学》第7版，中国人民大学出版社，2018（2023官方旧版大纲）</t>
  </si>
  <si>
    <t>官方旧（2023）；2026交互目录待复核，不标作最新指定教材</t>
  </si>
  <si>
    <t>概率论与数理统计（2023官方旧版复试科目；2026学院细则待核）</t>
  </si>
  <si>
    <t>待核（仅有旧版科目名）</t>
  </si>
  <si>
    <t>2023官方旧；2026待补</t>
  </si>
  <si>
    <t>2022:官方线表未见025200；2023-2026:学校官方</t>
  </si>
  <si>
    <t>安徽合肥包河区屯溪路校区</t>
  </si>
  <si>
    <t>5.1万元/全程</t>
  </si>
  <si>
    <t>B：2023官方旧大纲；未核到可读原卷</t>
  </si>
  <si>
    <t>2023官方旧大纲未披露题型比例；2026待核</t>
  </si>
  <si>
    <t>https://yjszs.hfut.edu.cn/_upload/article/files/d1/5a/4a20a87c4642b45c6285759ffd2c/6032ae67-848f-4f1f-a844-ee66b66bebfb.pdf</t>
  </si>
  <si>
    <t>郑州大学</t>
  </si>
  <si>
    <t>河南头部高校，生源与区域辨识度高</t>
  </si>
  <si>
    <t>河南郑州中原区主校区</t>
  </si>
  <si>
    <t>郑州二七广场</t>
  </si>
  <si>
    <t>郑州二七广场：约30–50分钟</t>
  </si>
  <si>
    <t>华南师范大学</t>
  </si>
  <si>
    <t>数学科学学院；心理学院</t>
  </si>
  <si>
    <t>华南师范头部，心理统计方向有特色</t>
  </si>
  <si>
    <t>华中师范大学</t>
  </si>
  <si>
    <t>数学与统计学学院</t>
  </si>
  <si>
    <t>师范头部，统计教育方向较强</t>
  </si>
  <si>
    <t>湖北武汉洪山区桂子山校区</t>
  </si>
  <si>
    <t>1.5万元/年</t>
  </si>
  <si>
    <t>2012-2023、2025</t>
  </si>
  <si>
    <t>西南交通大学</t>
  </si>
  <si>
    <t>交通行业强校，技术数据岗位中上</t>
  </si>
  <si>
    <t>四川成都郫都区犀浦校区</t>
  </si>
  <si>
    <t>成都天府广场：约55–80分钟</t>
  </si>
  <si>
    <t>西北大学</t>
  </si>
  <si>
    <t>西北综合211，区域认可度较高</t>
  </si>
  <si>
    <t>1.2万元/年</t>
  </si>
  <si>
    <t>中国石油大学（北京）</t>
  </si>
  <si>
    <t>理学院；克拉玛依校区</t>
  </si>
  <si>
    <t>能源行业强校，通用数据岗位中上</t>
  </si>
  <si>
    <t>北京昌平区；新疆克拉玛依市克拉玛依区</t>
  </si>
  <si>
    <t>北京天安门；克拉玛依人民广场</t>
  </si>
  <si>
    <t>北京天安门：约55–80分钟；克拉玛依人民广场：约20–35分钟</t>
  </si>
  <si>
    <t>2019-2023</t>
  </si>
  <si>
    <t>华北电力大学</t>
  </si>
  <si>
    <t>北京数理学院；保定数理系</t>
  </si>
  <si>
    <t>电力能源行业强势，通用数据/量化辨识度中上</t>
  </si>
  <si>
    <t>432统计学；保定复试科目为概率论与数理统计</t>
  </si>
  <si>
    <t>北京昌平区回龙观；河北保定莲池区</t>
  </si>
  <si>
    <t>北京天安门；保定万博广场</t>
  </si>
  <si>
    <t>北京天安门：约55–80分钟；保定万博广场：约25–45分钟</t>
  </si>
  <si>
    <t>2017-2025；2016-2025</t>
  </si>
  <si>
    <t>南京师范大学</t>
  </si>
  <si>
    <t>师范与长三角认可度较好，量化品牌一般</t>
  </si>
  <si>
    <t>2015-2020</t>
  </si>
  <si>
    <t>中国石油大学（华东）</t>
  </si>
  <si>
    <t>能源行业强势，通用数据岗位中上</t>
  </si>
  <si>
    <t>山东青岛黄岛区唐岛湾校区</t>
  </si>
  <si>
    <t>青岛五四广场：约70–100分钟</t>
  </si>
  <si>
    <t>2019-2023、2025</t>
  </si>
  <si>
    <t>中国地质大学（武汉）</t>
  </si>
  <si>
    <t>经济管理学院；数学与物理学院</t>
  </si>
  <si>
    <t>地学行业强势，通用数据岗位中上</t>
  </si>
  <si>
    <t>湖北武汉洪山区南望山校区</t>
  </si>
  <si>
    <t>中国地质大学（北京）</t>
  </si>
  <si>
    <t>数理学院</t>
  </si>
  <si>
    <t>全日制；单独考试</t>
  </si>
  <si>
    <t>英语二（统考）</t>
  </si>
  <si>
    <t>数学三（统考）</t>
  </si>
  <si>
    <t>432统计学；单考科目另列，不与统考混淆</t>
  </si>
  <si>
    <t>北京海淀区学院路校区</t>
  </si>
  <si>
    <t>福州大学</t>
  </si>
  <si>
    <t>福建头部211，区域认可度高</t>
  </si>
  <si>
    <t>福建福州闽侯县旗山校区</t>
  </si>
  <si>
    <t>福州东街口</t>
  </si>
  <si>
    <t>福州东街口：约55–80分钟</t>
  </si>
  <si>
    <t>西南大学</t>
  </si>
  <si>
    <t>综合211，西南区域认可度较好</t>
  </si>
  <si>
    <t>重庆北碚区北碚校区</t>
  </si>
  <si>
    <t>重庆解放碑：约70–100分钟</t>
  </si>
  <si>
    <t>2026官方招生简章公开镜像</t>
  </si>
  <si>
    <t>2011-2015、2018-2025；2011-2025</t>
  </si>
  <si>
    <t>云南大学</t>
  </si>
  <si>
    <t>西南区域名校，区外量化辨识度中等</t>
  </si>
  <si>
    <t>云南昆明呈贡区呈贡校区</t>
  </si>
  <si>
    <t>昆明东风广场</t>
  </si>
  <si>
    <t>昆明东风广场：约55–80分钟</t>
  </si>
  <si>
    <t>2011-2023、2025</t>
  </si>
  <si>
    <t>陕西师范大学</t>
  </si>
  <si>
    <t>师范211，西北区域认可度较好</t>
  </si>
  <si>
    <t>待定</t>
  </si>
  <si>
    <t>2023-2024</t>
  </si>
  <si>
    <t>中央民族大学</t>
  </si>
  <si>
    <t>985标签有用，但在数据/量化招聘中辨识度偏中等</t>
  </si>
  <si>
    <t>北京海淀区中关村南大街校区</t>
  </si>
  <si>
    <t>2026学校研究生院</t>
  </si>
  <si>
    <t>辽宁大学</t>
  </si>
  <si>
    <t>经济学院；数学与统计学院</t>
  </si>
  <si>
    <t>经济学传统较强，东北及金融岗位有一定认可</t>
  </si>
  <si>
    <t>辽宁沈阳皇姑区崇山校区；沈北新区蒲河校区</t>
  </si>
  <si>
    <t>沈阳中街</t>
  </si>
  <si>
    <t>沈阳中街：约60–85分钟</t>
  </si>
  <si>
    <t>湖南师范大学</t>
  </si>
  <si>
    <t>区域师范211，通用数据岗位辨识度中等</t>
  </si>
  <si>
    <t>432统计学；复试含概率论数理统计、回归分析</t>
  </si>
  <si>
    <t>概率论与数理统计、回归分析</t>
  </si>
  <si>
    <t>湖南长沙岳麓区二里半校区</t>
  </si>
  <si>
    <t>2012-2022、2025</t>
  </si>
  <si>
    <t>北京林业大学</t>
  </si>
  <si>
    <t>经济管理学院</t>
  </si>
  <si>
    <t>211标签清晰，但数据/金融岗位专业品牌一般</t>
  </si>
  <si>
    <t>北京海淀区清华东路校区</t>
  </si>
  <si>
    <t>2018-2025</t>
  </si>
  <si>
    <t>河北工业大学</t>
  </si>
  <si>
    <t>211标签稳定，京津冀认可度较好</t>
  </si>
  <si>
    <t>2026官方432大纲：概率论、数理统计；试题以计算题和证明题为主</t>
  </si>
  <si>
    <t>李贤平《概率论基础》第3版（高教，2010）；茆诗松等《概率论与数理统计教程》第3版（高教，2016）；陈家鼎等《数理统计学讲义》第3版（高教，2015）</t>
  </si>
  <si>
    <t>天津北辰区北辰校区</t>
  </si>
  <si>
    <t>天津和平路/小白楼</t>
  </si>
  <si>
    <t>天津和平路/小白楼：约45–65分钟</t>
  </si>
  <si>
    <t>0.7万元/年</t>
  </si>
  <si>
    <t>2021-2022、2025</t>
  </si>
  <si>
    <t>2026官方：以计算题和证明题为主</t>
  </si>
  <si>
    <t>https://yjs.hebut.edu.cn/docs/2025-09/1b4436ded93548a48e17c73f389b0301.pdf</t>
  </si>
  <si>
    <t>中国药科大学</t>
  </si>
  <si>
    <t>医药行业辨识度强，通用量化一般</t>
  </si>
  <si>
    <t>2018-2022</t>
  </si>
  <si>
    <t>南昌大学</t>
  </si>
  <si>
    <t>江西头部211，区域认可度高</t>
  </si>
  <si>
    <t>江西南昌红谷滩区前湖校区</t>
  </si>
  <si>
    <t>南昌八一广场</t>
  </si>
  <si>
    <t>南昌八一广场：约35–55分钟</t>
  </si>
  <si>
    <t>2023、2025</t>
  </si>
  <si>
    <t>华中农业大学</t>
  </si>
  <si>
    <t>信息学院</t>
  </si>
  <si>
    <t>生物统计方向有行业加成，通用量化一般</t>
  </si>
  <si>
    <t>432统计学；复试含概率论、数理统计、R上机</t>
  </si>
  <si>
    <t>概率论、数理统计、R上机</t>
  </si>
  <si>
    <t>有（R上机）</t>
  </si>
  <si>
    <t>湖北武汉洪山区狮子山校区</t>
  </si>
  <si>
    <t>2015-2018、2020-2022、2024-2025</t>
  </si>
  <si>
    <t>安徽大学</t>
  </si>
  <si>
    <t>大数据与统计学院</t>
  </si>
  <si>
    <t>区域211，大数据学院带来一定专业加成</t>
  </si>
  <si>
    <t>安徽合肥蜀山区磬苑校区</t>
  </si>
  <si>
    <t>合肥四牌楼：约35–55分钟</t>
  </si>
  <si>
    <t>南京农业大学</t>
  </si>
  <si>
    <t>农业领域强，通用数据/量化岗位辨识度一般</t>
  </si>
  <si>
    <t>江苏南京玄武区卫岗校区</t>
  </si>
  <si>
    <t>太原理工大学</t>
  </si>
  <si>
    <t>D</t>
  </si>
  <si>
    <t>区域工科强校，数据/量化全国辨识度一般</t>
  </si>
  <si>
    <t>432统计学；方向含生医统计、大数据、社会经济统计</t>
  </si>
  <si>
    <t>2022:机构汇总（二次核验）；2023:国家线底线/院线缺失；2024:机构公开汇总（二次核验）；2025:机构公开汇总（二次核验）；2026:官方</t>
  </si>
  <si>
    <t>山西太原万柏林区迎西校区</t>
  </si>
  <si>
    <t>太原五一广场</t>
  </si>
  <si>
    <t>太原五一广场：约25–45分钟</t>
  </si>
  <si>
    <t>贵州大学</t>
  </si>
  <si>
    <t>区域211，区外数据/量化岗位辨识度较低</t>
  </si>
  <si>
    <t>贵州贵阳花溪区西校区</t>
  </si>
  <si>
    <t>贵阳喷水池</t>
  </si>
  <si>
    <t>贵阳喷水池：约55–80分钟</t>
  </si>
  <si>
    <t>2020-2025</t>
  </si>
  <si>
    <t>内蒙古大学</t>
  </si>
  <si>
    <t>区域211，区外通用岗位辨识度偏低</t>
  </si>
  <si>
    <t>内蒙古呼和浩特赛罕区</t>
  </si>
  <si>
    <t>呼和浩特新华广场</t>
  </si>
  <si>
    <t>呼和浩特新华广场：约25–45分钟</t>
  </si>
  <si>
    <t>2021-2025</t>
  </si>
  <si>
    <t>东北农业大学</t>
  </si>
  <si>
    <t>文理学院</t>
  </si>
  <si>
    <t>农业领域强，通用数据/量化岗位辨识度偏低</t>
  </si>
  <si>
    <t>黑龙江哈尔滨香坊区</t>
  </si>
  <si>
    <t>哈尔滨中央大街</t>
  </si>
  <si>
    <t>哈尔滨中央大街：约35–55分钟</t>
  </si>
  <si>
    <t>东北林业大学</t>
  </si>
  <si>
    <t>林业领域强，通用岗位辨识度偏低</t>
  </si>
  <si>
    <t>新疆大学</t>
  </si>
  <si>
    <t>数学与系统科学学院</t>
  </si>
  <si>
    <t>区域211，区外通用岗位辨识度较低</t>
  </si>
  <si>
    <t>新疆乌鲁木齐水磨沟区博达校区</t>
  </si>
  <si>
    <t>乌鲁木齐人民广场</t>
  </si>
  <si>
    <t>乌鲁木齐人民广场：约35–55分钟</t>
  </si>
  <si>
    <t>0.9万元/年</t>
  </si>
  <si>
    <t>2019-2022、2024-2025</t>
  </si>
  <si>
    <t>延边大学</t>
  </si>
  <si>
    <t>吉林延边州延吉市</t>
  </si>
  <si>
    <t>延吉时代广场</t>
  </si>
  <si>
    <t>延吉时代广场：约15–30分钟</t>
  </si>
  <si>
    <t>宁夏大学</t>
  </si>
  <si>
    <t>数学统计学院</t>
  </si>
  <si>
    <t>宁夏银川西夏区贺兰山校区</t>
  </si>
  <si>
    <t>银川鼓楼</t>
  </si>
  <si>
    <t>银川鼓楼：约40–60分钟</t>
  </si>
  <si>
    <t>石河子大学</t>
  </si>
  <si>
    <t>经济与管理学院</t>
  </si>
  <si>
    <t>新疆石河子市北四路校区</t>
  </si>
  <si>
    <t>石河子幸福路商圈</t>
  </si>
  <si>
    <t>石河子幸福路商圈：约15–30分钟</t>
  </si>
  <si>
    <t>年度复试线与拟录取统计 · 审计明细</t>
  </si>
  <si>
    <t>年份</t>
  </si>
  <si>
    <t>选择数值</t>
  </si>
  <si>
    <t>复试线文本</t>
  </si>
  <si>
    <t>线证据等级</t>
  </si>
  <si>
    <t>多学院/方向明细</t>
  </si>
  <si>
    <t>分数线来源</t>
  </si>
  <si>
    <t>拟录取人数</t>
  </si>
  <si>
    <t>拟录取最低</t>
  </si>
  <si>
    <t>拟录取中位</t>
  </si>
  <si>
    <t>拟录取最高</t>
  </si>
  <si>
    <t>复试人数</t>
  </si>
  <si>
    <t>复录比</t>
  </si>
  <si>
    <t>溢出率</t>
  </si>
  <si>
    <t>录取来源/备注</t>
  </si>
  <si>
    <t>420（机构2022汇总；多方向取最高普通线）</t>
  </si>
  <si>
    <t>机构汇总（二次核验）</t>
  </si>
  <si>
    <t>已给出院校线</t>
  </si>
  <si>
    <t>https://www.educity.cn/kyyy/5009654.html</t>
  </si>
  <si>
    <t>官方公示未披露本科院校；不可计算，未作推断</t>
  </si>
  <si>
    <t>405（清华大学2023校/项目线）</t>
  </si>
  <si>
    <t>清华大学2023校/项目线</t>
  </si>
  <si>
    <t>https://yz.chsi.com.cn/kyzx/zt/lnfsx2023.shtml</t>
  </si>
  <si>
    <t>420（机构公开页；多方向取最高，需以官网复核）</t>
  </si>
  <si>
    <t>机构公开汇总（二次核验）</t>
  </si>
  <si>
    <t>(042)数学科学系 (01)应用统计=420</t>
  </si>
  <si>
    <t>https://www.ludengkaoyan.com/school3/qrz/zsml/111.html</t>
  </si>
  <si>
    <t>380（机构公开页；多方向取最高，需以官网复核）</t>
  </si>
  <si>
    <t>(042)数学科学系 (01)应用统计=380</t>
  </si>
  <si>
    <t>https://www.ludengkaoyan.com/school3/qrz/zsml/138436.html</t>
  </si>
  <si>
    <t>375（数学科学系全日制项目；统计系非全另核）</t>
  </si>
  <si>
    <t>官方学院</t>
  </si>
  <si>
    <t>数学科学系全日制项目；统计系非全另核</t>
  </si>
  <si>
    <t>https://www.math.tsinghua.edu.cn/qinghuadaxue2026nianshuxuekexuexi2026nianshuoshitongzhaoshengfushiluqushishixize.pdf</t>
  </si>
  <si>
    <t>410（机构2022汇总；多方向取最高普通线）</t>
  </si>
  <si>
    <t>无可核本科背景数据</t>
  </si>
  <si>
    <t>395（复旦大学2023应用统计线）</t>
  </si>
  <si>
    <t>复旦大学2023应用统计线</t>
  </si>
  <si>
    <t>395（机构公开页；多方向取最高，需以官网复核）</t>
  </si>
  <si>
    <t>(018)数学科学学院 (01)高维数据分析=395；(018)数学科学学院 (02)散乱数据拟合=395；(018)数学科学学院 (03)统计计算方法=395；(084)上海数学中心 (01)统计建模与推断=395；(084)上海数学中心 (02)统计机器学习=395；(098)大数据学院 (01)大数据统计=395；(098)大数据学院 (02)人工智能=395</t>
  </si>
  <si>
    <t>https://www.ludengkaoyan.com/school15/qrz/zsml/16448.html</t>
  </si>
  <si>
    <t>345（机构公开页；多方向取最高，需以官网复核）</t>
  </si>
  <si>
    <t>(018)数学科学学院 (01)高维数据分析=345；(018)数学科学学院 (02)散乱数据拟合=345；(018)数学科学学院 (03)统计计算方法=345；(084)上海数学中心 (01)统计建模与推断=345；(084)上海数学中心 (02)统计机器学习=345；(098)大数据学院 (01)大数据统计=345；(098)大数据学院 (02)人工智能=345；(098)大数据学院 (03)人工智能（类脑研究院）=345；(402)上海数学与交叉学科研究院 (01)人工智能=345；(402)上海数学与交叉学科研究院 (02)大数据分析=345</t>
  </si>
  <si>
    <t>https://www.ludengkaoyan.com/school15/qrz/zsml/173760.html</t>
  </si>
  <si>
    <t>380（0252应用统计学校基本线，四培养单位，学校官方）</t>
  </si>
  <si>
    <t>官方学校2026</t>
  </si>
  <si>
    <t>2026官方对照表确认0252由数学科学学院、上海数学中心、大数据学院、上海数学与交叉学科研究院招生。</t>
  </si>
  <si>
    <t>https://gsao.fudan.edu.cn/_upload/article/files/18/fc/7a23e1c8471c8cf6eab8c0459cb0/d2f601bf-0bfd-4275-ab86-535e691b9f49.pdf</t>
  </si>
  <si>
    <t>学校官方名单未披露本科院校；不可计算，未作姓名匹配或网络推断</t>
  </si>
  <si>
    <t>400（机构2022汇总；多方向取最高普通线）</t>
  </si>
  <si>
    <t>365（上海交通大学2023学校专业基本线）</t>
  </si>
  <si>
    <t>上海交通大学2023学校专业基本线</t>
  </si>
  <si>
    <t>(071)数学科学学院 (01)不区分研究方向=380</t>
  </si>
  <si>
    <t>https://www.ludengkaoyan.com/school17/qrz/zsml/16458.html</t>
  </si>
  <si>
    <t>375（机构公开页；多方向取最高，需以官网复核）</t>
  </si>
  <si>
    <t>(071)数学科学学院 (01)不区分研究方向=375</t>
  </si>
  <si>
    <t>https://www.ludengkaoyan.com/school17/qrz/zsml/175438.html</t>
  </si>
  <si>
    <t>390（学校0252基本线）</t>
  </si>
  <si>
    <t>学校0252基本线</t>
  </si>
  <si>
    <t>https://yzb.sjtu.edu.cn/post/3503</t>
  </si>
  <si>
    <t>375（机构2022汇总；多方向取最高普通线）</t>
  </si>
  <si>
    <t>370（南京大学数学系2023应用统计线）</t>
  </si>
  <si>
    <t>南京大学数学系2023应用统计线</t>
  </si>
  <si>
    <t>https://math.nju.edu.cn/DFS/file/2023/03/17/20230317123707200fsqjvf.pdf</t>
  </si>
  <si>
    <t>370（机构公开页；多方向取最高，需以官网复核）</t>
  </si>
  <si>
    <t>(021)数学系 (01)应用统计硕士=370</t>
  </si>
  <si>
    <t>https://www.ludengkaoyan.com/school19/qrz/zsml/16495.html</t>
  </si>
  <si>
    <t>355（机构公开页；多方向取最高，需以官网复核）</t>
  </si>
  <si>
    <t>(021)数学学院 (01)应用统计硕士=355</t>
  </si>
  <si>
    <t>https://www.ludengkaoyan.com/school19/qrz/zsml/182179.html</t>
  </si>
  <si>
    <t>406（数学学院实际入围线（名单最低分））</t>
  </si>
  <si>
    <t>数学学院实际入围线（名单最低分）</t>
  </si>
  <si>
    <t>https://math.nju.edu.cn/DFS/file/2026/03/18/202603181823272823iq65i.pdf</t>
  </si>
  <si>
    <t>390（机构2022汇总；多方向取最高普通线）</t>
  </si>
  <si>
    <t>380（中国科学技术大学2023应用统计线）</t>
  </si>
  <si>
    <t>学校线二次转载</t>
  </si>
  <si>
    <t>中国科学技术大学2023应用统计线</t>
  </si>
  <si>
    <t>https://www.yanzhaowang.com.cn/fushi/fenshuxian/202303/2052884.html</t>
  </si>
  <si>
    <t>(204)管理学院 (00)不区分研究方向=380</t>
  </si>
  <si>
    <t>https://www.ludengkaoyan.com/school22/qrz/zsml/16560.html</t>
  </si>
  <si>
    <t>333（机构公开页；多方向取最高，需以官网复核）</t>
  </si>
  <si>
    <t>(204)管理学院 (00)不区分研究方向=333</t>
  </si>
  <si>
    <t>https://www.ludengkaoyan.com/school22/qrz/zsml/197487.html</t>
  </si>
  <si>
    <t>390（管理学院025200应用统计，学院官方）</t>
  </si>
  <si>
    <t>官方学院2026</t>
  </si>
  <si>
    <t>复试名单中实际最低初试分为392；390为公布复试线，两者分列。</t>
  </si>
  <si>
    <t>https://som.ustc.edu.cn/2026/0319/c36754a723567/page.htm</t>
  </si>
  <si>
    <t>官方复试/拟录取名单未披露本科院校；不可计算，未作推断</t>
  </si>
  <si>
    <t>380（机构2022汇总；多方向取最高普通线）</t>
  </si>
  <si>
    <t>380（中国人民大学2023应用统计线）</t>
  </si>
  <si>
    <t>中国人民大学2023应用统计线</t>
  </si>
  <si>
    <t>400（机构公开页；多方向取最高，需以官网复核）</t>
  </si>
  <si>
    <t>(115)统计学院 (00)不区分研究方向=400；(116)统计与大数据研究院 (01)数据科学与人工智能=400</t>
  </si>
  <si>
    <t>https://www.ludengkaoyan.com/school2/qrz/zsml/108.html</t>
  </si>
  <si>
    <t>355（统计学院025200，学院官方）</t>
  </si>
  <si>
    <t>官方学院2025</t>
  </si>
  <si>
    <t>https://stat.ruc.edu.cn/tzgg/44b0a2b212b9477494645db69c1efd8f.htm</t>
  </si>
  <si>
    <t>340（机构公开页；多方向取最高，需以官网复核）</t>
  </si>
  <si>
    <t>(115)统计学院 (00)不区分研究方向=340；(116)统计与大数据研究院 (01)数据科学与人工智能=340</t>
  </si>
  <si>
    <t>https://www.ludengkaoyan.com/school2/qrz/zsml/268413.html</t>
  </si>
  <si>
    <t>367（机构2022汇总；多方向取最高普通线）</t>
  </si>
  <si>
    <t>(009)数学学院： 360/52/52/78/78 (010)统计与管理学院： 367/52/52/78/78(其他研究方向) 360/52/52/78/78(05上财-波士顿大学数理金融和金融科技硕士)</t>
  </si>
  <si>
    <t>A区国家线346（仅底线；未核院线，不纳入均值）</t>
  </si>
  <si>
    <t>国家线底线/院线缺失</t>
  </si>
  <si>
    <t>国家线不等同学院实际复试线</t>
  </si>
  <si>
    <t>380（统计与管理学院A组380；数理金融项目338；数值取最高普通线）</t>
  </si>
  <si>
    <t>学校公开报录报告镜像</t>
  </si>
  <si>
    <t>统计与管理学院A组380；数理金融项目338；数值取最高普通线</t>
  </si>
  <si>
    <t>https://static.kaoyan.cn/file/2024/09/09/03ae3e8670da5739f58bca7dc6067c10.pdf</t>
  </si>
  <si>
    <t>323（机构公开页；多方向取最高，需以官网复核）</t>
  </si>
  <si>
    <t>(009)数学学院 (11)统计计算与数据建模=323；(010)统计与管理学院 (01)数据科学与商务统计=323；(010)统计与管理学院 (02)人工智能与金融统计=323；(010)统计与管理学院 (03)机器学习与健康统计=323；(010)统计与管理学院 (04)大数据技术与经济统计=323；(010)统计与管理学院 (05)上财-波士顿大学数理金融和金融科技硕士=323</t>
  </si>
  <si>
    <t>https://www.ludengkaoyan.com/school70/qrz/zsml/179389.html</t>
  </si>
  <si>
    <t>324（机构公开页；多方向取最高，需以官网复核）</t>
  </si>
  <si>
    <t>(009)数学学院 (11)统计计算与数据建模=324；(010)统计与数据科学学院 (01)数据科学与商务统计=324；(010)统计与数据科学学院 (02)人工智能与金融统计=324；(010)统计与数据科学学院 (03)机器学习与健康统计=324；(010)统计与数据科学学院 (04)大数据技术与经济统计=324；(010)统计与数据科学学院 (05)上财-波士顿大学数理金融和金融科技硕士=324</t>
  </si>
  <si>
    <t>https://www.ludengkaoyan.com/school70/qrz/zsml/308856.html</t>
  </si>
  <si>
    <t>415（机构2022汇总；多方向取最高普通线）</t>
  </si>
  <si>
    <t>370（武汉大学2023应用统计线）</t>
  </si>
  <si>
    <t>武汉大学2023应用统计线</t>
  </si>
  <si>
    <t>385（机构公开页；多方向取最高，需以官网复核）</t>
  </si>
  <si>
    <t>(201)数学与统计学院 (00)不区分研究方向=385</t>
  </si>
  <si>
    <t>https://www.ludengkaoyan.com/school26/qrz/zsml/16652.html</t>
  </si>
  <si>
    <t>(201)数学与统计学院 (01)生物统计=380；(201)数学与统计学院 (02)金融统计与风险管理=380；(201)数学与统计学院 (03)统计学习=380</t>
  </si>
  <si>
    <t>https://www.ludengkaoyan.com/school26/qrz/zsml/219963.html</t>
  </si>
  <si>
    <t>325（机构公开页；多方向取最高，需以官网复核）</t>
  </si>
  <si>
    <t>(201)数学与统计学院 (01)生物统计=325；(201)数学与统计学院 (02)金融统计与风险管理=325；(201)数学与统计学院 (03)统计学习=325；(201)数学与统计学院 (04)时间序列分析=325；(201)数学与统计学院 (05)深度学习=325</t>
  </si>
  <si>
    <t>https://www.ludengkaoyan.com/school26/qrz/zsml/347629.html</t>
  </si>
  <si>
    <t>360（机构2022汇总；多方向取最高普通线）</t>
  </si>
  <si>
    <t>370（西安交通大学2023应用统计线）</t>
  </si>
  <si>
    <t>西安交通大学2023应用统计线</t>
  </si>
  <si>
    <t>350（机构公开页；多方向取最高，需以官网复核）</t>
  </si>
  <si>
    <t>(007)数学与统计学院 (01)COT项目-大数据=350；(019)经济与金融学院 (01)COT项目-金融数据建模与分析=350</t>
  </si>
  <si>
    <t>https://www.ludengkaoyan.com/school35/qrz/zsml/16767.html</t>
  </si>
  <si>
    <t>(007)数学与统计学院 (01)COT项目-大数据=345；(019)经济与金融学院 (01)COT项目-金融数据建模与分析=345</t>
  </si>
  <si>
    <t>https://www.ludengkaoyan.com/school35/qrz/zsml/245460.html</t>
  </si>
  <si>
    <t>360（机构公开页；多方向取最高，需以官网复核）</t>
  </si>
  <si>
    <t>(007)数学与统计学院 (01)COT项目-大数据=360；(019)经济与金融学院 (01)COT项目-金融数据建模与分析=360</t>
  </si>
  <si>
    <t>https://www.ludengkaoyan.com/school35/qrz/zsml/372889.html</t>
  </si>
  <si>
    <t>375（华中科技大学2023应用统计线）</t>
  </si>
  <si>
    <t>华中科技大学2023应用统计线</t>
  </si>
  <si>
    <t>365（机构公开页；多方向取最高，需以官网复核）</t>
  </si>
  <si>
    <t>(011)数学与统计学院 (01)统计建模与数据挖掘=365；(011)数学与统计学院 (02)信息统计=365；(011)数学与统计学院 (03)经济与金融统计分析=365；(011)数学与统计学院 (04)生物与医学统计分析=365；(011)数学与统计学院 (05)社会统计与管理统计=365；(011)数学与统计学院 (06)统计计算及应用软件=365</t>
  </si>
  <si>
    <t>https://www.ludengkaoyan.com/school27/qrz/zsml/16653.html</t>
  </si>
  <si>
    <t>https://www.ludengkaoyan.com/school27/qrz/zsml/219709.html</t>
  </si>
  <si>
    <t>(011)数学与统计学院 (01)统计建模与数据挖掘=375；(011)数学与统计学院 (02)信息统计=375；(011)数学与统计学院 (03)经济与金融统计分析=375；(011)数学与统计学院 (04)生物与医学统计分析=375；(011)数学与统计学院 (05)社会统计与管理统计=375；(011)数学与统计学院 (06)统计计算及应用软件=375</t>
  </si>
  <si>
    <t>https://www.ludengkaoyan.com/school27/qrz/zsml/347696.html</t>
  </si>
  <si>
    <t>370（机构2022汇总；多方向取最高普通线）</t>
  </si>
  <si>
    <t>380（中山大学2023应用统计线）</t>
  </si>
  <si>
    <t>中山大学2023应用统计线</t>
  </si>
  <si>
    <t>https://graduate.sysu.edu.cn/zsw/sites/admission.prod.dpcms4.sysu.edu.cn/files/2023-03/%E4%B8%AD%E5%B1%B1%E5%A4%A7%E5%AD%A62023%E5%B9%B4%E7%A1%95%E5%A3%AB%E7%A0%94%E7%A9%B6%E7%94%9F%E5%85%A5%E5%AD%A6%E8%80%83%E8%AF%95%E5%A4%8D%E8%AF%95%E5%9F%BA%E6%9C%AC%E5%88%86%E6%95%B0%E7%BA%BF_2.pdf</t>
  </si>
  <si>
    <t>390（机构公开页；多方向取最高，需以官网复核）</t>
  </si>
  <si>
    <t>(340)数学学院 (69)不分方向=390；(742)数学学院（珠海） (69)不分方向=390</t>
  </si>
  <si>
    <t>https://www.ludengkaoyan.com/school30/qrz/zsml/16706.html</t>
  </si>
  <si>
    <t>330（机构公开页；多方向取最高，需以官网复核）</t>
  </si>
  <si>
    <t>(340)数学学院 (69)不分方向=330；(742)数学学院（珠海） (69)不分方向=330</t>
  </si>
  <si>
    <t>https://www.ludengkaoyan.com/school30/qrz/zsml/230708.html</t>
  </si>
  <si>
    <t>https://www.ludengkaoyan.com/school30/qrz/zsml/358542.html</t>
  </si>
  <si>
    <t>360（哈尔滨工业大学2023应用统计线）</t>
  </si>
  <si>
    <t>哈尔滨工业大学2023应用统计线</t>
  </si>
  <si>
    <t>https://yzb.hit.edu.cn/_t1161/2023/0314/c22276a292420/page.htm</t>
  </si>
  <si>
    <t>(020)数学学院 (00)不区分研究方向=350</t>
  </si>
  <si>
    <t>https://www.ludengkaoyan.com/school14/qrz/zsml/16440.html</t>
  </si>
  <si>
    <t>(020)数学学院 (00)不区分研究方向=330</t>
  </si>
  <si>
    <t>https://www.ludengkaoyan.com/school14/qrz/zsml/171103.html</t>
  </si>
  <si>
    <t>(020)数学学院 (10)不区分研究方向=340；(020)数学学院 (60)不区分研究方向（苏州基地）=340</t>
  </si>
  <si>
    <t>https://www.ludengkaoyan.com/school14/qrz/zsml/301597.html</t>
  </si>
  <si>
    <t>385（01-02方向385；03方向346，数值取普通方向最高线）</t>
  </si>
  <si>
    <t>官方历史查询</t>
  </si>
  <si>
    <t>01-02方向385；03方向346，数值取普通方向最高线</t>
  </si>
  <si>
    <t>https://yzcx.swufe.edu.cn/chaxun/yzb/ss/2023/06_fs/01_fsx/2023fsx.htm</t>
  </si>
  <si>
    <t>338（机构公开页；多方向取最高，需以官网复核）</t>
  </si>
  <si>
    <t>(006)统计学院 (01)金融统计=338；(006)统计学院 (02)大数据分析=338；(006)统计学院 (03)金融大数据分析=338；(006)统计学院 (04)金融产业数字化=338</t>
  </si>
  <si>
    <t>https://www.ludengkaoyan.com/school100/qrz/zsml/16754.html</t>
  </si>
  <si>
    <t>(006)统计学院 (01)金融统计=323；(006)统计学院 (02)大数据分析=323；(006)统计学院 (03)金融产业数字化=323</t>
  </si>
  <si>
    <t>https://www.ludengkaoyan.com/school100/qrz/zsml/244472.html</t>
  </si>
  <si>
    <t>(006)统计与数据科学学院 (01)金融统计=324；(006)统计与数据科学学院 (02)大数据分析=324；(006)统计与数据科学学院 (03)金融产业数字化=324</t>
  </si>
  <si>
    <t>https://www.ludengkaoyan.com/school100/qrz/zsml/371933.html</t>
  </si>
  <si>
    <t>378（机构2022汇总；多方向取最高普通线）</t>
  </si>
  <si>
    <t>395（华东师范大学2023应用统计线）</t>
  </si>
  <si>
    <t>华东师范大学2023应用统计线</t>
  </si>
  <si>
    <t>(159)统计学院 (01)商务智能与大数据分析=338；(159)统计学院 (02)人工智能与机器学习=338；(159)统计学院 (03)量化投资与金融工程=338；(159)统计学院 (04)数据融合与生物统计=338；(159)统计学院 (05)工业统计与智能分析=338；(159)统计学院 (06)计算社会科学=338</t>
  </si>
  <si>
    <t>https://www.ludengkaoyan.com/school18/qrz/zsml/16470.html</t>
  </si>
  <si>
    <t>(159)统计学院 (01)商务智能与大数据分析=323；(159)统计学院 (02)人工智能与机器学习=323；(159)统计学院 (03)量化投资与金融工程=323；(159)统计学院 (04)数据融合与生物统计=323；(159)统计学院 (05)工业统计与智能分析=323</t>
  </si>
  <si>
    <t>https://www.ludengkaoyan.com/school18/qrz/zsml/178262.html</t>
  </si>
  <si>
    <t>392（统计学院025200）</t>
  </si>
  <si>
    <t>统计学院025200</t>
  </si>
  <si>
    <t>https://yjszs.ecnu.edu.cn/_upload/article/files/0a/0b/623bd1cf46ef96998a7b42a8b6c0/399e6790-cafb-4e1a-9b32-e3f13aee36b8.pdf</t>
  </si>
  <si>
    <t>360（厦门大学2023应用统计线）</t>
  </si>
  <si>
    <t>厦门大学2023应用统计线</t>
  </si>
  <si>
    <t>(022)统计学与数据科学系 (00)不区分研究方向=360；(028)王亚南经济研究院 (00)不区分研究方向=360</t>
  </si>
  <si>
    <t>https://www.ludengkaoyan.com/school23/qrz/zsml/16576.html</t>
  </si>
  <si>
    <t>(022)统计学与数据科学系 (00)不区分研究方向=350；(028)王亚南经济研究院 (00)不区分研究方向=350</t>
  </si>
  <si>
    <t>https://www.ludengkaoyan.com/school23/qrz/zsml/201560.html</t>
  </si>
  <si>
    <t>(022)统计学与数据科学系 (00)不区分研究方向=330</t>
  </si>
  <si>
    <t>https://www.ludengkaoyan.com/school23/qrz/zsml/329826.html</t>
  </si>
  <si>
    <t>371（中央财经大学2023应用统计线）</t>
  </si>
  <si>
    <t>公开汇总，待官网复核</t>
  </si>
  <si>
    <t>中央财经大学2023应用统计线</t>
  </si>
  <si>
    <t>(029)统计与数学学院 (01)金融统计=338；(029)统计与数学学院 (02)经济与商务统计=338；(029)统计与数学学院 (03)大数据分析=338</t>
  </si>
  <si>
    <t>https://www.ludengkaoyan.com/school49/qrz/zsml/140.html</t>
  </si>
  <si>
    <t>(029)统计与数学学院 (01)金融统计=323；(029)统计与数学学院 (02)经济与商务统计=323；(029)统计与数学学院 (03)大数据分析=323</t>
  </si>
  <si>
    <t>https://www.ludengkaoyan.com/school49/qrz/zsml/144909.html</t>
  </si>
  <si>
    <t>(029)统计与数学学院 (01)金融统计=324；(029)统计与数学学院 (02)经济与商务统计=324；(029)统计与数学学院 (03)大数据分析=324</t>
  </si>
  <si>
    <t>https://www.ludengkaoyan.com/school49/qrz/zsml/275141.html</t>
  </si>
  <si>
    <t>385（机构2022汇总；多方向取最高普通线）</t>
  </si>
  <si>
    <t>375（东南大学2023应用统计线）</t>
  </si>
  <si>
    <t>东南大学2023应用统计线</t>
  </si>
  <si>
    <t>(007)数学学院 (01)经济金融统计=365；(007)数学学院 (02)质量管理=365；(007)数学学院 (03)抽样统计=365；(007)数学学院 (04)统计诊断技术=365；(007)数学学院 (05)生物医药统计=365</t>
  </si>
  <si>
    <t>https://www.ludengkaoyan.com/school20/qrz/zsml/16497.html</t>
  </si>
  <si>
    <t>335（机构公开页；多方向取最高，需以官网复核）</t>
  </si>
  <si>
    <t>(007)数学学院 (01)经济金融统计=335；(007)数学学院 (02)质量管理=335；(007)数学学院 (03)抽样统计=335；(007)数学学院 (04)统计诊断技术=335；(007)数学学院 (05)生物医药统计=335</t>
  </si>
  <si>
    <t>https://www.ludengkaoyan.com/school20/qrz/zsml/183941.html</t>
  </si>
  <si>
    <t>(087)统计与数据科学学院 (01)机器学习与人工智能=380；(087)统计与数据科学学院 (02)数据科学与生物信息=380；(087)统计与数据科学学院 (03)金融科技与风险管理=380</t>
  </si>
  <si>
    <t>https://www.ludengkaoyan.com/school20/qrz/zsml/312432.html</t>
  </si>
  <si>
    <t>未招生</t>
  </si>
  <si>
    <t>350（西北工业大学2023应用统计线）</t>
  </si>
  <si>
    <t>西北工业大学2023应用统计线</t>
  </si>
  <si>
    <t>(023)数学与统计学院 (01)工业统计与系统性能优化=360；(023)数学与统计学院 (02)大数据分析及统计决策=360；(023)数学与统计学院 (03)生物医学统计与智慧医疗=360；(023)数学与统计学院 (04)统计计算与智能信息处理=360</t>
  </si>
  <si>
    <t>https://www.ludengkaoyan.com/school36/qrz/zsml/16769.html</t>
  </si>
  <si>
    <t>(023)数学与统计学院 (01)工业统计与系统性能优化=350；(023)数学与统计学院 (02)大数据分析及统计决策=350；(023)数学与统计学院 (03)生物医学统计与智慧医疗=350；(023)数学与统计学院 (04)统计计算与智能信息处理=350</t>
  </si>
  <si>
    <t>https://www.ludengkaoyan.com/school36/qrz/zsml/245834.html</t>
  </si>
  <si>
    <t>https://www.ludengkaoyan.com/school36/qrz/zsml/373305.html</t>
  </si>
  <si>
    <t>(014)统计学院 (01)商务统计与商业分析=338；(014)统计学院 (02)数量金融与风险管理=338；(014)统计学院 (03)数据科学与人工智能=338</t>
  </si>
  <si>
    <t>https://www.ludengkaoyan.com/school50/qrz/zsml/143.html</t>
  </si>
  <si>
    <t>(014)统计学院 (01)商务统计与商业分析=323；(014)统计学院 (02)数量金融与风险管理=323；(014)统计学院 (03)数据科学与人工智能=323</t>
  </si>
  <si>
    <t>https://www.ludengkaoyan.com/school50/qrz/zsml/145161.html</t>
  </si>
  <si>
    <t>(014)统计学院 (01)商务统计与商业分析=324；(014)统计学院 (02)数量金融与风险管理=324；(014)统计学院 (03)数据科学与人工智能=324</t>
  </si>
  <si>
    <t>https://www.ludengkaoyan.com/school50/qrz/zsml/275348.html</t>
  </si>
  <si>
    <t>346（同济大学2023学校专业基本线）</t>
  </si>
  <si>
    <t>同济大学2023学校专业基本线</t>
  </si>
  <si>
    <t>未检出可用数值；待查官网</t>
  </si>
  <si>
    <t>缺失</t>
  </si>
  <si>
    <t>https://www.ludengkaoyan.com/major3/fsx/</t>
  </si>
  <si>
    <t>(102)数学科学学院 (01)人工智能与深度学习=323；(102)数学科学学院 (02)金融统计与量化投资=323</t>
  </si>
  <si>
    <t>https://www.ludengkaoyan.com/school16/qrz/zsml/174728.html</t>
  </si>
  <si>
    <t>(102)数学科学学院 (01)人工智能与深度学习=324；(102)数学科学学院 (02)金融统计与量化投资=324</t>
  </si>
  <si>
    <t>https://www.ludengkaoyan.com/school16/qrz/zsml/304213.html</t>
  </si>
  <si>
    <t>(118)统计与数学学院 (00)不区分研究方向=338</t>
  </si>
  <si>
    <t>https://www.ludengkaoyan.com/school91/qrz/zsml/16686.html</t>
  </si>
  <si>
    <t>(118)统计与数学学院 (00)不区分研究方向=323</t>
  </si>
  <si>
    <t>https://www.ludengkaoyan.com/school91/qrz/zsml/225498.html</t>
  </si>
  <si>
    <t>(120)统计与数学学院 (00)不区分研究方向=324</t>
  </si>
  <si>
    <t>https://www.ludengkaoyan.com/school91/qrz/zsml/352902.html</t>
  </si>
  <si>
    <t>未在该机构2022汇总中检出；待查官网</t>
  </si>
  <si>
    <t>(001)理学院 (00)不区分研究方向=338</t>
  </si>
  <si>
    <t>https://www.ludengkaoyan.com/school39/qrz/zsml/16704.html</t>
  </si>
  <si>
    <t>(001)理学院 (00)不区分研究方向=323</t>
  </si>
  <si>
    <t>https://www.ludengkaoyan.com/school39/qrz/zsml/230622.html</t>
  </si>
  <si>
    <t>(001)理学院 (00)不区分研究方向=324</t>
  </si>
  <si>
    <t>https://www.ludengkaoyan.com/school39/qrz/zsml/358477.html</t>
  </si>
  <si>
    <t>355（四川大学2023应用统计线）</t>
  </si>
  <si>
    <t>四川大学2023应用统计线</t>
  </si>
  <si>
    <t>(101)经济学院 (01)宏观经济统计分析=370；(101)经济学院 (02)市场调查与数据分析=370；(101)经济学院 (03)金融数据分析=370；(201)数学学院 (01)大数据分析=370</t>
  </si>
  <si>
    <t>https://www.ludengkaoyan.com/school32/qrz/zsml/16742.html</t>
  </si>
  <si>
    <t>(101)经济学院 (01)宏观经济统计分析=365；(101)经济学院 (02)市场调查与数据分析=365；(101)经济学院 (03)金融数据分析=365；(101)经济学院 (04)数字经济与数据要素分析=365；(201)数学学院 (01)大数据分析=365</t>
  </si>
  <si>
    <t>https://www.ludengkaoyan.com/school32/qrz/zsml/239465.html</t>
  </si>
  <si>
    <t>(101)经济学院 (01)宏观经济统计分析=385；(101)经济学院 (02)市场调查与数据分析=385；(101)经济学院 (03)金融数据分析=385；(101)经济学院 (04)数字经济与数据要素分析=385；(201)数学学院 (01)大数据分析=385</t>
  </si>
  <si>
    <t>https://www.ludengkaoyan.com/school32/qrz/zsml/367220.html</t>
  </si>
  <si>
    <t>370（山东大学2023应用统计线）</t>
  </si>
  <si>
    <t>山东大学2023应用统计线</t>
  </si>
  <si>
    <t>(005)经济研究院 (01)不区分研究方向=370；(020)金融研究院 (01)金融统计=370；(020)金融研究院 (02)大数据分析和机器学习=370；(020)金融研究院 (03)生物统计=370；(020)金融研究院 (04)金融科技=370；(089)数学与统计学院 (01)应用深度学习=370；(089)数学与统计学院 (02)空间数据分析=370</t>
  </si>
  <si>
    <t>https://www.ludengkaoyan.com/school24/qrz/zsml/16601.html</t>
  </si>
  <si>
    <t>(005)经济研究院 (01)不区分研究方向=335；(020)金融研究院 (01)金融统计=335；(020)金融研究院 (02)大数据分析和机器学习=335；(020)金融研究院 (03)生物统计=335；(020)金融研究院 (04)金融科技=335；(051)数据科学研究院 (01)大数据分析和机器学习=335；(051)数据科学研究院 (02)社会统计=335；(051)数据科学研究院 (03)高性能算子设计与优化=335；(089)数学与统计学院 (01)应用深度学习=335；(089)数学与统计学院 (02)空间数据分析=335</t>
  </si>
  <si>
    <t>https://www.ludengkaoyan.com/school24/qrz/zsml/208715.html</t>
  </si>
  <si>
    <t>(005)经济研究院 (01)不区分研究方向=325；(020)金融研究院 (01)金融统计=325；(020)金融研究院 (02)大数据分析和机器学习=325；(020)金融研究院 (03)生物统计=325；(020)金融研究院 (04)金融科技=325；(051)数据科学研究院 (01)大数据分析和机器学习=325；(051)数据科学研究院 (02)社会统计=325；(051)数据科学研究院 (03)高性能算子设计与优化=325；(089)数学与统计学院 (01)应用深度学习=325；(089)数学与统计学院 (02)空间数据分析=325</t>
  </si>
  <si>
    <t>https://www.ludengkaoyan.com/school24/qrz/zsml/336406.html</t>
  </si>
  <si>
    <t>370（中南大学2023应用统计线）</t>
  </si>
  <si>
    <t>中南大学2023应用统计线</t>
  </si>
  <si>
    <t>(021)数学与统计学院 (01)应用统计=370</t>
  </si>
  <si>
    <t>https://www.ludengkaoyan.com/school29/qrz/zsml/16691.html</t>
  </si>
  <si>
    <t>(021)数学与统计学院 (01)应用统计=365</t>
  </si>
  <si>
    <t>https://www.ludengkaoyan.com/school29/qrz/zsml/226965.html</t>
  </si>
  <si>
    <t>(021)数学与统计学院 (01)大数据分析=355；(021)数学与统计学院 (02)金融统计与风险管理=355；(021)数学与统计学院 (03)社会经济统计=355；(021)数学与统计学院 (04)生物医学及公共卫生统计=355</t>
  </si>
  <si>
    <t>https://www.ludengkaoyan.com/school29/qrz/zsml/355190.html</t>
  </si>
  <si>
    <t>390（北京师范大学2023应用统计线）</t>
  </si>
  <si>
    <t>北京师范大学2023应用统计线</t>
  </si>
  <si>
    <t>(034)统计学院 (01)经济与金融统计（珠海）=375；(034)统计学院 (02)数据科学与管理（珠海）=375；(034)统计学院 (03)教育测量与大数据挖掘（珠海）=375</t>
  </si>
  <si>
    <t>https://www.ludengkaoyan.com/school7/qrz/zsml/133.html</t>
  </si>
  <si>
    <t>345（统计学院025200）</t>
  </si>
  <si>
    <t>https://yz.bnu.edu.cn/detail/77810013-b3d0-46fa-bbd6-9615a8561a52</t>
  </si>
  <si>
    <t>375（统计学院025200）</t>
  </si>
  <si>
    <t>https://yz.bnu.edu.cn/content/ss_fsfsx/2026/fsfsx_yxsm__034___zy__1.html</t>
  </si>
  <si>
    <t>365（吉林大学2023应用统计线）</t>
  </si>
  <si>
    <t>吉林大学2023应用统计线</t>
  </si>
  <si>
    <t>(301)数学学院 (00)不区分研究方向=370</t>
  </si>
  <si>
    <t>https://www.ludengkaoyan.com/school13/qrz/zsml/16427.html</t>
  </si>
  <si>
    <t>(301)数学学院 (00)不区分研究方向=360</t>
  </si>
  <si>
    <t>https://www.ludengkaoyan.com/school13/qrz/zsml/167762.html</t>
  </si>
  <si>
    <t>https://www.ludengkaoyan.com/school13/qrz/zsml/298549.html</t>
  </si>
  <si>
    <t>370（重庆大学2023学校专业基本线）</t>
  </si>
  <si>
    <t>重庆大学2023学校专业基本线</t>
  </si>
  <si>
    <t>(006)数学与统计学院 (01)金融统计、金融投资与风险管理=355；(006)数学与统计学院 (02)工业统计与生产管理=355；(006)数学与统计学院 (03)大数据分析=355；(006)数学与统计学院 (04)社会经济统计=355</t>
  </si>
  <si>
    <t>https://www.ludengkaoyan.com/school33/qrz/zsml/16731.html</t>
  </si>
  <si>
    <t>(006)数学与统计学院 (01)金融统计、金融投资与风险管理=345；(006)数学与统计学院 (02)工业统计与生产管理=345；(006)数学与统计学院 (03)大数据分析=345；(006)数学与统计学院 (04)社会经济统计=345</t>
  </si>
  <si>
    <t>https://www.ludengkaoyan.com/school33/qrz/zsml/236638.html</t>
  </si>
  <si>
    <t>https://www.ludengkaoyan.com/school33/qrz/zsml/364400.html</t>
  </si>
  <si>
    <t>360（大连理工大学2023应用统计线）</t>
  </si>
  <si>
    <t>大连理工大学2023应用统计线</t>
  </si>
  <si>
    <t>(010)（主校区）数学科学学院 (01)工业数据统计建模=360；(010)（主校区）数学科学学院 (02)应用统计中的实用优化方法=360；(010)（主校区）数学科学学院 (03)金融保险统计与市场调查=360</t>
  </si>
  <si>
    <t>https://www.ludengkaoyan.com/school11/qrz/zsml/16416.html</t>
  </si>
  <si>
    <t>(010)（主校区）数学科学学院 (00)不区分研究方向=350</t>
  </si>
  <si>
    <t>https://www.ludengkaoyan.com/school11/qrz/zsml/162236.html</t>
  </si>
  <si>
    <t>https://www.ludengkaoyan.com/school11/qrz/zsml/291787.html</t>
  </si>
  <si>
    <t>350（湖南大学2023应用统计线）</t>
  </si>
  <si>
    <t>湖南大学2023应用统计线</t>
  </si>
  <si>
    <t>(018)金融与统计学院 (00)不区分研究方向=350</t>
  </si>
  <si>
    <t>https://www.ludengkaoyan.com/school28/qrz/zsml/16690.html</t>
  </si>
  <si>
    <t>(018)金融与统计学院 (00)不区分研究方向=345</t>
  </si>
  <si>
    <t>https://www.ludengkaoyan.com/school28/qrz/zsml/226954.html</t>
  </si>
  <si>
    <t>340（025200应用统计，非全日制，学院官方）</t>
  </si>
  <si>
    <t>招生计划22；复试仅综合面试，无笔试。</t>
  </si>
  <si>
    <t>https://jt.hnu.edu.cn/info/1089/8977.htm</t>
  </si>
  <si>
    <t>(007)数学与统计学院 (00)不区分研究方向=338</t>
  </si>
  <si>
    <t>https://www.ludengkaoyan.com/school105/qrz/zsml/16773.html</t>
  </si>
  <si>
    <t>(007)数学与统计学院 (00)不区分研究方向=323</t>
  </si>
  <si>
    <t>https://www.ludengkaoyan.com/school105/qrz/zsml/246199.html</t>
  </si>
  <si>
    <t>(007)数学与统计学院 (00)不区分研究方向=324</t>
  </si>
  <si>
    <t>https://www.ludengkaoyan.com/school105/qrz/zsml/373999.html</t>
  </si>
  <si>
    <t>360（兰州大学2023应用统计线）</t>
  </si>
  <si>
    <t>兰州大学2023应用统计线</t>
  </si>
  <si>
    <t>(011)数学与统计学院 (00)不区分研究方向=365</t>
  </si>
  <si>
    <t>https://www.ludengkaoyan.com/school38/qrz/zsml/16789.html</t>
  </si>
  <si>
    <t>(011)数学与统计学院 (00)不区分研究方向=355</t>
  </si>
  <si>
    <t>https://www.ludengkaoyan.com/school38/qrz/zsml/261950.html</t>
  </si>
  <si>
    <t>(011)数学与统计学院 (00)不区分研究方向=370</t>
  </si>
  <si>
    <t>https://www.ludengkaoyan.com/school38/qrz/zsml/388484.html</t>
  </si>
  <si>
    <t>(008)数学学院 (01)随机系统理论与统计分析=323；(008)数学学院 (02)航空系统可靠性及信息安全=323；(008)数学学院 (03)数字经济与金融统计=323；(008)数学学院 (04)人工智能与生物医学统计=323</t>
  </si>
  <si>
    <t>https://www.ludengkaoyan.com/school73/qrz/zsml/184361.html</t>
  </si>
  <si>
    <t>(008)数学学院 (01)随机系统理论与统计分析=324；(008)数学学院 (02)航空系统可靠性及信息安全=324；(008)数学学院 (03)数字经济与金融统计=324；(008)数学学院 (04)人工智能与生物医学统计=324</t>
  </si>
  <si>
    <t>https://www.ludengkaoyan.com/school73/qrz/zsml/312532.html</t>
  </si>
  <si>
    <t>(130)数学与统计学院 (01)不区分研究方向=323</t>
  </si>
  <si>
    <t>https://www.ludengkaoyan.com/school74/qrz/zsml/184654.html</t>
  </si>
  <si>
    <t>(130)数学与统计学院 (01)金融统计和风险管理=324；(130)数学与统计学院 (02)大数据分析=324；(130)数学与统计学院 (03)生物医学及公共卫生统计=324</t>
  </si>
  <si>
    <t>https://www.ludengkaoyan.com/school74/qrz/zsml/313453.html</t>
  </si>
  <si>
    <t>369（机构2022汇总；多方向取最高普通线）</t>
  </si>
  <si>
    <t>(011)数学科学学院 (00)不区分研究方向=338</t>
  </si>
  <si>
    <t>https://www.ludengkaoyan.com/school25/qrz/zsml/16608.html</t>
  </si>
  <si>
    <t>(011)数学科学学院 (00)不区分研究方向=323</t>
  </si>
  <si>
    <t>https://www.ludengkaoyan.com/school25/qrz/zsml/208527.html</t>
  </si>
  <si>
    <t>(011)数学科学学院 (00)不区分研究方向=324</t>
  </si>
  <si>
    <t>https://www.ludengkaoyan.com/school25/qrz/zsml/336396.html</t>
  </si>
  <si>
    <t>381（机构2022汇总；多方向取最高普通线）</t>
  </si>
  <si>
    <t>(001)经济学院 (01)不分方向=338；(001)经济学院 (22)不分方向（单考）=338；(010)信息科学技术学院 (01)不分方向=338；(010)信息科学技术学院 (22)不分方向（单考）=338</t>
  </si>
  <si>
    <t>https://www.ludengkaoyan.com/school93/qrz/zsml/16708.html</t>
  </si>
  <si>
    <t>(001)经济学院 (01)不分方向=323；(010)信息科学技术学院 (01)不分方向=323</t>
  </si>
  <si>
    <t>https://www.ludengkaoyan.com/school93/qrz/zsml/230894.html</t>
  </si>
  <si>
    <t>(001)经济学院 (01)不分方向=324；(010)信息科学技术学院 (01)不分方向=324</t>
  </si>
  <si>
    <t>https://www.ludengkaoyan.com/school93/qrz/zsml/358793.html</t>
  </si>
  <si>
    <t>388（机构2022汇总；多方向取最高普通线）</t>
  </si>
  <si>
    <t>388（北京交通大学2023应用统计线）</t>
  </si>
  <si>
    <t>官方归档/学院线</t>
  </si>
  <si>
    <t>北京交通大学2023应用统计线</t>
  </si>
  <si>
    <t>(003)经济管理学院 (01)大数据分析=338；(003)经济管理学院 (02)交通运输统计分析=338；(003)经济管理学院 (03)经济统计分析=338</t>
  </si>
  <si>
    <t>https://www.ludengkaoyan.com/school40/qrz/zsml/112.html</t>
  </si>
  <si>
    <t>(003)经济管理学院 (01)大数据分析=323；(003)经济管理学院 (02)交通运输统计分析=323；(003)经济管理学院 (03)经济统计分析=323</t>
  </si>
  <si>
    <t>https://www.ludengkaoyan.com/school40/qrz/zsml/138731.html</t>
  </si>
  <si>
    <t>324（数学与统计学院；其他培养单位需分别核）</t>
  </si>
  <si>
    <t>数学与统计学院；其他培养单位需分别核</t>
  </si>
  <si>
    <t>https://soms.bjtu.edu.cn/docs/2026-03/abd40f25009b4043a2dd92e6d8948a79.pdf</t>
  </si>
  <si>
    <t>355（东北大学2023应用统计线）</t>
  </si>
  <si>
    <t>东北大学2023应用统计线</t>
  </si>
  <si>
    <t>(002)理学院 (01)工业统计应用=355；(002)理学院 (02)金融统计应用=355；(002)理学院 (03)数据分析=355；(002)理学院 (04)人工智能=355；(002)理学院 (05)【秦皇岛】应用统计=355；(002)理学院 (06)【佛山】应用统计=355</t>
  </si>
  <si>
    <t>https://www.ludengkaoyan.com/school12/qrz/zsml/16419.html</t>
  </si>
  <si>
    <t>(002)理学院 (01)工业统计应用=345；(002)理学院 (02)金融统计应用=345；(002)理学院 (03)数据分析=345；(002)理学院 (04)人工智能=345；(002)理学院 (05)【秦皇岛】应用统计=345；(002)理学院 (06)【佛山】应用统计=345</t>
  </si>
  <si>
    <t>https://www.ludengkaoyan.com/school12/qrz/zsml/163137.html</t>
  </si>
  <si>
    <t>(002)理学院 (01)工业统计应用=345；(002)理学院 (02)数据分析=345；(002)理学院 (03)人工智能=345；(002)理学院 (04)【秦皇岛】应用统计=345；(002)理学院 (05)【佛山】应用统计=345</t>
  </si>
  <si>
    <t>https://www.ludengkaoyan.com/school12/qrz/zsml/292719.html</t>
  </si>
  <si>
    <t>(009)数学学院 (01)统计计算与优化算法=323；(009)数学学院 (02)金融统计与风险管理=323；(009)数学学院 (03)工业统计与人工智能=323</t>
  </si>
  <si>
    <t>https://www.ludengkaoyan.com/school67/qrz/zsml/176066.html</t>
  </si>
  <si>
    <t>(009)数学学院 (01)统计计算与优化算法=324；(009)数学学院 (02)金融统计与风险管理=324；(009)数学学院 (03)工业统计与人工智能=324</t>
  </si>
  <si>
    <t>https://www.ludengkaoyan.com/school67/qrz/zsml/306114.html</t>
  </si>
  <si>
    <t>(001)理学院 (01)大数据分析=338；(001)理学院 (02)生物医学统计=338；(101)经济学院 (01)金融统计与风险管理=338；(101)经济学院 (02)商务数据分析=338</t>
  </si>
  <si>
    <t>https://www.ludengkaoyan.com/school71/qrz/zsml/16489.html</t>
  </si>
  <si>
    <t>(001)理学院 (01)大数据分析=323；(001)理学院 (02)生物医学统计=323；(101)经济学院 (01)金融统计与风险管理=323；(101)经济学院 (02)商务数据分析=323</t>
  </si>
  <si>
    <t>https://www.ludengkaoyan.com/school71/qrz/zsml/180809.html</t>
  </si>
  <si>
    <t>(001)理学院 (01)大数据分析=324；(001)理学院 (02)生物医学统计=324；(101)经济学院 (01)金融统计与风险管理=324；(101)经济学院 (02)商务数据分析=324</t>
  </si>
  <si>
    <t>https://www.ludengkaoyan.com/school71/qrz/zsml/309546.html</t>
  </si>
  <si>
    <t>(011)数学科学学院 (01)应用统计硕士=338</t>
  </si>
  <si>
    <t>https://www.ludengkaoyan.com/school72/qrz/zsml/16496.html</t>
  </si>
  <si>
    <t>(011)数学科学学院 (01)应用统计=323</t>
  </si>
  <si>
    <t>https://www.ludengkaoyan.com/school72/qrz/zsml/182105.html</t>
  </si>
  <si>
    <t>(011)数学科学学院 (01)应用统计=324</t>
  </si>
  <si>
    <t>https://www.ludengkaoyan.com/school72/qrz/zsml/311391.html</t>
  </si>
  <si>
    <t>365（机构2022汇总；多方向取最高普通线）</t>
  </si>
  <si>
    <t>(034)数学学院 (01)水利统计=338；(034)数学学院 (02)金融统计分析=338；(034)数学学院 (03)经济统计分析=338；(034)数学学院 (04)工业统计和质量控制=338</t>
  </si>
  <si>
    <t>https://www.ludengkaoyan.com/school76/qrz/zsml/16516.html</t>
  </si>
  <si>
    <t>(034)数学学院 (01)水利统计=323；(034)数学学院 (02)金融统计分析=323；(034)数学学院 (03)经济统计分析=323；(034)数学学院 (04)工业统计和质量控制=323</t>
  </si>
  <si>
    <t>https://www.ludengkaoyan.com/school76/qrz/zsml/186664.html</t>
  </si>
  <si>
    <t>(034)数学学院 (01)水利统计=324；(034)数学学院 (02)金融统计分析=324；(034)数学学院 (03)经济统计分析=324；(034)数学学院 (04)工业统计和质量控制=324；(048)前沿交叉科学研究院 (01)水科学中的统计建模与分析=324；(048)前沿交叉科学研究院 (02)工业软件中的数值算法=324</t>
  </si>
  <si>
    <t>https://www.ludengkaoyan.com/school76/qrz/zsml/315105.html</t>
  </si>
  <si>
    <t>(013)理学院 (01)不区分研究方向=338</t>
  </si>
  <si>
    <t>https://www.ludengkaoyan.com/school88/qrz/zsml/16671.html</t>
  </si>
  <si>
    <t>(013)数学与统计学院 (01)不区分研究方向=323</t>
  </si>
  <si>
    <t>https://www.ludengkaoyan.com/school88/qrz/zsml/221945.html</t>
  </si>
  <si>
    <t>(013)数学与统计学院 (01)不区分研究方向=324</t>
  </si>
  <si>
    <t>https://www.ludengkaoyan.com/school88/qrz/zsml/350896.html</t>
  </si>
  <si>
    <t>(121)数学与统计学院 (00)不区分研究方向=338</t>
  </si>
  <si>
    <t>https://www.ludengkaoyan.com/school63/qrz/zsml/16436.html</t>
  </si>
  <si>
    <t>(121)数学与统计学院 (00)不区分研究方向=323</t>
  </si>
  <si>
    <t>https://www.ludengkaoyan.com/school63/qrz/zsml/169778.html</t>
  </si>
  <si>
    <t>(121)数学与统计学院 (00)不区分研究方向=324</t>
  </si>
  <si>
    <t>https://www.ludengkaoyan.com/school63/qrz/zsml/300551.html</t>
  </si>
  <si>
    <t>374（机构2022汇总；多方向取最高普通线）</t>
  </si>
  <si>
    <t>(011)理学院 (01)金融统计=338；(011)理学院 (02)经济与社会统计=338；(011)理学院 (03)大数据分析=338</t>
  </si>
  <si>
    <t>https://www.ludengkaoyan.com/school68/qrz/zsml/16467.html</t>
  </si>
  <si>
    <t>(011)数学与统计学院 (01)金融统计=323；(011)数学与统计学院 (02)经济与社会统计=323；(011)数学与统计学院 (03)大数据分析=323</t>
  </si>
  <si>
    <t>https://www.ludengkaoyan.com/school68/qrz/zsml/176851.html</t>
  </si>
  <si>
    <t>(011)数学与统计学院 (01)金融统计=324；(011)数学与统计学院 (02)经济与社会统计=324；(011)数学与统计学院 (03)大数据分析=324</t>
  </si>
  <si>
    <t>https://www.ludengkaoyan.com/school68/qrz/zsml/307127.html</t>
  </si>
  <si>
    <t>(066)理学部 (01)生物医学统计=338；(066)理学部 (02)经济与社会统计=338；(066)理学部 (03)精算统计=338；(066)理学部 (04)质量管理统计=338；(066)理学部 (05)大数据分析与处理=338；(066)理学部 (06)机器学习与优化统计=338</t>
  </si>
  <si>
    <t>https://www.ludengkaoyan.com/school41/qrz/zsml/121.html</t>
  </si>
  <si>
    <t>375（025200）</t>
  </si>
  <si>
    <t>025200</t>
  </si>
  <si>
    <t>https://yanzhao.bjut.edu.cn/info/1019/17506.htm</t>
  </si>
  <si>
    <t>(086)数学统计学与力学学院 (01)生物医学统计=324；(086)数学统计学与力学学院 (02)经济与社会统计=324；(086)数学统计学与力学学院 (03)精算统计=324；(086)数学统计学与力学学院 (04)质量管理统计=324；(086)数学统计学与力学学院 (05)大数据分析与处理=324；(086)数学统计学与力学学院 (06)机器学习与优化统计=324</t>
  </si>
  <si>
    <t>https://www.ludengkaoyan.com/school41/qrz/zsml/269235.html</t>
  </si>
  <si>
    <t>官方2022复试线表未见025200；不填国家线替代</t>
  </si>
  <si>
    <t>官方查无该专业</t>
  </si>
  <si>
    <t>https://yjszs.hfut.edu.cn/2022/0319/c13533a280872/page.htm</t>
  </si>
  <si>
    <t>346（025200应用统计，非全日制，学校官方）</t>
  </si>
  <si>
    <t>官方2023</t>
  </si>
  <si>
    <t>https://yjszs.hfut.edu.cn/2023/0318/c13524a289822/page.htm</t>
  </si>
  <si>
    <t>338（025200应用统计，非全日制，学校官方）</t>
  </si>
  <si>
    <t>官方2024</t>
  </si>
  <si>
    <t>https://yjszs.hfut.edu.cn/2024/0322/c13533a301654/page.htm</t>
  </si>
  <si>
    <t>323（025200应用统计，非全日制，学校官方）</t>
  </si>
  <si>
    <t>官方2025</t>
  </si>
  <si>
    <t>https://yjszs.hfut.edu.cn/2025/0319/c13524a310804/page.htm</t>
  </si>
  <si>
    <t>332（025200应用统计，非全日制，学校官方）</t>
  </si>
  <si>
    <t>官方2026</t>
  </si>
  <si>
    <t>学校规定数学学院差额复试比例120%；这不是由名单闭合计算的实际复录比。</t>
  </si>
  <si>
    <t>https://yjszs.hfut.edu.cn/2026/0320/c13533a317912/pagem.htm</t>
  </si>
  <si>
    <t>(014)数学与统计学院 (01)统计与大数据分析=338；(014)数学与统计学院 (02)金融统计和风险管理=338；(014)数学与统计学院 (03)（河南省大数据研究院）统计与大数据分析=338；(014)数学与统计学院 (04)（现代制造河南实验室-洛阳）统计与大数据分析=338</t>
  </si>
  <si>
    <t>https://www.ludengkaoyan.com/school86/qrz/zsml/16631.html</t>
  </si>
  <si>
    <t>(014)数学与统计学院 (01)统计与大数据分析=323；(014)数学与统计学院 (02)金融统计和风险管理=323</t>
  </si>
  <si>
    <t>https://www.ludengkaoyan.com/school86/qrz/zsml/214515.html</t>
  </si>
  <si>
    <t>(014)数学与统计学院 (01)统计与大数据分析=324；(014)数学与统计学院 (02)金融统计和风险管理=324</t>
  </si>
  <si>
    <t>https://www.ludengkaoyan.com/school86/qrz/zsml/342836.html</t>
  </si>
  <si>
    <t>(013)数学科学学院 (01)不区分研究方向=338；(024)心理学院 (01)应用统计=338</t>
  </si>
  <si>
    <t>https://www.ludengkaoyan.com/school94/qrz/zsml/16712.html</t>
  </si>
  <si>
    <t>(013)数学科学学院 (01)不区分研究方向=323；(024)心理学院 (01)应用统计=323</t>
  </si>
  <si>
    <t>https://www.ludengkaoyan.com/school94/qrz/zsml/233862.html</t>
  </si>
  <si>
    <t>(013)数学科学学院 (01)不区分研究方向=324；(024)心理学院 (01)应用统计=324</t>
  </si>
  <si>
    <t>https://www.ludengkaoyan.com/school94/qrz/zsml/361560.html</t>
  </si>
  <si>
    <t>362（机构2022汇总；多方向取最高普通线）</t>
  </si>
  <si>
    <t>(011)数学与统计学学院 (00)不区分研究方向=338</t>
  </si>
  <si>
    <t>https://www.ludengkaoyan.com/school90/qrz/zsml/16683.html</t>
  </si>
  <si>
    <t>(011)数学与统计学学院 (00)不区分研究方向=323</t>
  </si>
  <si>
    <t>https://www.ludengkaoyan.com/school90/qrz/zsml/223850.html</t>
  </si>
  <si>
    <t>(011)数学与统计学学院 (00)不区分研究方向=324</t>
  </si>
  <si>
    <t>https://www.ludengkaoyan.com/school90/qrz/zsml/352029.html</t>
  </si>
  <si>
    <t>(040)数学学院 (01)金融统计与风险管理=323；(040)数学学院 (02)工业统计=323；(040)数学学院 (03)大数据分析=323；(040)数学学院 (04)统计决策与优化=323</t>
  </si>
  <si>
    <t>https://www.ludengkaoyan.com/school97/qrz/zsml/239381.html</t>
  </si>
  <si>
    <t>(040)数学学院 (01)金融统计与风险管理=324；(040)数学学院 (02)工业统计=324；(040)数学学院 (03)大数据分析=324；(040)数学学院 (04)统计决策与优化=324</t>
  </si>
  <si>
    <t>https://www.ludengkaoyan.com/school97/qrz/zsml/368755.html</t>
  </si>
  <si>
    <t>(014)数学学院 (00)不区分研究方向=338</t>
  </si>
  <si>
    <t>https://www.ludengkaoyan.com/school104/qrz/zsml/16766.html</t>
  </si>
  <si>
    <t>(014)数学学院 (00)不区分研究方向=323</t>
  </si>
  <si>
    <t>https://www.ludengkaoyan.com/school104/qrz/zsml/245614.html</t>
  </si>
  <si>
    <t>(014)数学学院 (00)不区分研究方向=324</t>
  </si>
  <si>
    <t>https://www.ludengkaoyan.com/school104/qrz/zsml/372824.html</t>
  </si>
  <si>
    <t>(009)理学院 (01)经济与金融统计分析=338；(009)理学院 (02)大数据分析=338；(031)克拉玛依校区 (02)大数据分析=338</t>
  </si>
  <si>
    <t>https://www.ludengkaoyan.com/school113/qrz/zsml/155.html</t>
  </si>
  <si>
    <t>(009)理学院 (01)经济与金融统计分析=323；(009)理学院 (02)大数据分析=323；(031)克拉玛依校区 (01)经济与金融统计分析=323；(031)克拉玛依校区 (02)大数据分析=323</t>
  </si>
  <si>
    <t>https://www.ludengkaoyan.com/school113/qrz/zsml/147347.html</t>
  </si>
  <si>
    <t>(009)理学院 (01)经济与金融统计分析=324；(009)理学院 (02)大数据分析=324；(031)克拉玛依校区 (01)经济与金融统计分析=324；(031)克拉玛依校区 (02)大数据分析=324</t>
  </si>
  <si>
    <t>https://www.ludengkaoyan.com/school113/qrz/zsml/277513.html</t>
  </si>
  <si>
    <t>(004)数理系 (01)金融统计=338；(004)数理系 (02)能源统计=338；(004)数理系 (03)统计优化与应用=338；(004)数理系 (04)生物统计=338；(004)数理系 (05)大数据分析=338；(004)数理系 (06)应用数理统计=338；(004)数理系 (07)风险管理与精算=338；(010)数理学院 (01)应用数理统计=338；(010)数理学院 (02)大数据分析=338；(010)数理学院 (03)生态统计=338</t>
  </si>
  <si>
    <t>https://www.ludengkaoyan.com/school56/qrz/zsml/181.html</t>
  </si>
  <si>
    <t>(004)数理系 (01)金融统计=323；(004)数理系 (02)能源统计=323；(004)数理系 (03)统计优化与应用=323；(004)数理系 (04)生物统计=323；(004)数理系 (05)大数据分析=323；(004)数理系 (06)应用数理统计=323；(004)数理系 (07)风险管理与精算=323；(010)数理学院 (01)应用数理统计=323；(010)数理学院 (02)大数据分析=323；(010)数理学院 (03)生态统计=323</t>
  </si>
  <si>
    <t>https://www.ludengkaoyan.com/school56/qrz/zsml/157596.html</t>
  </si>
  <si>
    <t>(004)数理系 (01)金融统计=324；(004)数理系 (02)能源统计=324；(004)数理系 (03)统计优化与应用=324；(004)数理系 (04)生物统计=324；(004)数理系 (05)大数据分析=324；(004)数理系 (06)应用数理统计=324；(004)数理系 (07)风险管理与精算=324；(010)数理学院 (01)应用数理统计=324；(010)数理学院 (02)大数据分析=324；(010)数理学院 (03)生态统计=324</t>
  </si>
  <si>
    <t>https://www.ludengkaoyan.com/school56/qrz/zsml/393670.html</t>
  </si>
  <si>
    <t>(009)数学科学学院 (01)不分方向=338</t>
  </si>
  <si>
    <t>https://www.ludengkaoyan.com/school80/qrz/zsml/16529.html</t>
  </si>
  <si>
    <t>(009)数学科学学院 (01)不分方向=323</t>
  </si>
  <si>
    <t>https://www.ludengkaoyan.com/school80/qrz/zsml/191227.html</t>
  </si>
  <si>
    <t>(009)数学科学学院 (01)不分方向=324</t>
  </si>
  <si>
    <t>https://www.ludengkaoyan.com/school80/qrz/zsml/319656.html</t>
  </si>
  <si>
    <t>395（机构2022汇总；多方向取最高普通线）</t>
  </si>
  <si>
    <t>(009)理学院 (00)不区分研究方向=338</t>
  </si>
  <si>
    <t>https://www.ludengkaoyan.com/school85/qrz/zsml/16609.html</t>
  </si>
  <si>
    <t>(009)理学院 (00)不区分研究方向=323</t>
  </si>
  <si>
    <t>https://www.ludengkaoyan.com/school85/qrz/zsml/208637.html</t>
  </si>
  <si>
    <t>(009)理学院 (00)不区分研究方向=324</t>
  </si>
  <si>
    <t>https://www.ludengkaoyan.com/school85/qrz/zsml/337719.html</t>
  </si>
  <si>
    <t>371（机构2022汇总；多方向取最高普通线）</t>
  </si>
  <si>
    <t>(301)经济管理学院 (01)经济与金融统计=338；(301)经济管理学院 (02)资源与环境统计=338；(301)经济管理学院 (03)资源与环境统计(中国地调局联培)=338；(402)数学与物理学院 (01)统计建模与数据分析=338；(402)数学与物理学院 (02)智能生物计算与数据挖掘=338；(402)数学与物理学院 (03)经济与金融统计=338；(402)数学与物理学院 (04)大数据分析与人工智能=338；(402)数学与物理学院 (05)资源环境与工程统计=338</t>
  </si>
  <si>
    <t>https://www.ludengkaoyan.com/school87/qrz/zsml/16663.html</t>
  </si>
  <si>
    <t>(301)经济管理学院 (01)统计建模与数据分析=323；(301)经济管理学院 (02)经济与金融统计=323；(301)经济管理学院 (03)资源与环境统计=323；(301)经济管理学院 (04)大数据分析与人工智能=323；(301)经济管理学院 (05)智能生物计算与数据挖掘=323；(301)经济管理学院 (06)资源与环境统计(中国地调局联培)=323；(402)数学与物理学院 (01)统计建模与数据分析=323；(402)数学与物理学院 (02)智能生物计算与数据挖掘=323；(402)数学与物理学院 (03)经济与金融统计=323；(402)数学与物理学院 (04)大数据分析与人工智能=323</t>
  </si>
  <si>
    <t>https://www.ludengkaoyan.com/school87/qrz/zsml/221594.html</t>
  </si>
  <si>
    <t>(301)经济管理学院 (01)经济与金融统计=324；(301)经济管理学院 (02)资源与环境统计=324；(402)数学与物理学院 (01)统计建模与数据分析=324；(402)数学与物理学院 (02)智能生物计算与数据挖掘=324；(402)数学与物理学院 (03)经济与金融统计=324；(402)数学与物理学院 (04)大数据分析与人工智能=324</t>
  </si>
  <si>
    <t>https://www.ludengkaoyan.com/school87/qrz/zsml/349992.html</t>
  </si>
  <si>
    <t>(319)数理学院 (01)数据挖掘与分析=338；(319)数理学院 (02)经济与金融统计=338；(319)数理学院 (03)生物与医学统计=338；(319)数理学院 (04)资源环境统计=338</t>
  </si>
  <si>
    <t>https://www.ludengkaoyan.com/school114/qrz/zsml/158.html</t>
  </si>
  <si>
    <t>(319)数理学院 (01)数据挖掘与分析=323；(319)数理学院 (02)经济与金融统计=323；(319)数理学院 (03)生物与医学统计=323；(319)数理学院 (04)资源环境统计=323</t>
  </si>
  <si>
    <t>https://www.ludengkaoyan.com/school114/qrz/zsml/147593.html</t>
  </si>
  <si>
    <t>(319)数理学院 (01)数据挖掘与分析=324；(319)数理学院 (02)经济与金融统计=324；(319)数理学院 (03)生物与医学统计=324；(319)数理学院 (04)资源环境统计=324</t>
  </si>
  <si>
    <t>https://www.ludengkaoyan.com/school114/qrz/zsml/277842.html</t>
  </si>
  <si>
    <t>(003)数学与统计学院 (01)社会经济与金融统计=338；(003)数学与统计学院 (02)统计大数据=338；(003)数学与统计学院 (03)统计机器学习=338</t>
  </si>
  <si>
    <t>https://www.ludengkaoyan.com/school83/qrz/zsml/16579.html</t>
  </si>
  <si>
    <t>(003)数学与统计学院 (01)社会经济与金融统计=323；(003)数学与统计学院 (02)统计大数据=323；(003)数学与统计学院 (03)统计机器学习=323</t>
  </si>
  <si>
    <t>https://www.ludengkaoyan.com/school83/qrz/zsml/201635.html</t>
  </si>
  <si>
    <t>(003)数学与统计学院 (01)社会经济与金融统计=324；(003)数学与统计学院 (02)统计大数据=324；(003)数学与统计学院 (03)统计机器学习=324</t>
  </si>
  <si>
    <t>https://www.ludengkaoyan.com/school83/qrz/zsml/330217.html</t>
  </si>
  <si>
    <t>382（机构2022汇总；多方向取最高普通线）</t>
  </si>
  <si>
    <t>(314)数学与统计学院 (00)不区分研究方向=338</t>
  </si>
  <si>
    <t>https://www.ludengkaoyan.com/school99/qrz/zsml/16736.html</t>
  </si>
  <si>
    <t>(314)数学与统计学院 (00)不区分研究方向=323</t>
  </si>
  <si>
    <t>https://www.ludengkaoyan.com/school99/qrz/zsml/237683.html</t>
  </si>
  <si>
    <t>(314)数学与统计学院 (00)不区分研究方向=324</t>
  </si>
  <si>
    <t>https://www.ludengkaoyan.com/school99/qrz/zsml/365427.html</t>
  </si>
  <si>
    <t>350（机构2022汇总；多方向取最高普通线）</t>
  </si>
  <si>
    <t>B区国家线336（仅底线；未核院线，不纳入均值）</t>
  </si>
  <si>
    <t>328（机构公开页；多方向取最高，需以官网复核）</t>
  </si>
  <si>
    <t>(013)数学与统计学院 (01)社会经济统计分析=328；(013)数学与统计学院 (02)金融统计分析=328；(013)数学与统计学院 (03)市场调查分析=328；(013)数学与统计学院 (04)投资决策分析=328；(013)数学与统计学院 (05)教育统计=328；(013)数学与统计学院 (06)人口统计分析=328</t>
  </si>
  <si>
    <t>https://www.ludengkaoyan.com/school102/qrz/zsml/16759.html</t>
  </si>
  <si>
    <t>313（机构公开页；多方向取最高，需以官网复核）</t>
  </si>
  <si>
    <t>(013)数学与统计学院 (01)社会经济统计分析=313；(013)数学与统计学院 (02)金融统计分析=313；(013)数学与统计学院 (03)市场调查分析=313；(013)数学与统计学院 (04)投资决策分析=313；(013)数学与统计学院 (05)教育统计=313；(013)数学与统计学院 (06)人口统计分析=313</t>
  </si>
  <si>
    <t>https://www.ludengkaoyan.com/school102/qrz/zsml/258789.html</t>
  </si>
  <si>
    <t>314（机构公开页；多方向取最高，需以官网复核）</t>
  </si>
  <si>
    <t>(013)数学与统计学院 (01)社会经济统计分析=314；(013)数学与统计学院 (02)金融统计分析=314；(013)数学与统计学院 (03)市场调查分析=314；(013)数学与统计学院 (04)投资决策分析=314；(013)数学与统计学院 (05)教育统计=314；(013)数学与统计学院 (06)人口统计分析=314</t>
  </si>
  <si>
    <t>https://www.ludengkaoyan.com/school102/qrz/zsml/385441.html</t>
  </si>
  <si>
    <t>(014)数学与统计学院 (00)不区分研究方向=338</t>
  </si>
  <si>
    <t>https://www.ludengkaoyan.com/school107/qrz/zsml/16784.html</t>
  </si>
  <si>
    <t>323（025200）</t>
  </si>
  <si>
    <t>https://yz.snnu.edu.cn/2025ss-014.pdf</t>
  </si>
  <si>
    <t>(014)数学与统计学院 (00)不区分研究方向=324</t>
  </si>
  <si>
    <t>https://www.ludengkaoyan.com/school107/qrz/zsml/376466.html</t>
  </si>
  <si>
    <t>368（机构2022汇总；多方向取最高普通线）</t>
  </si>
  <si>
    <t>(020)理学院 (00)不区分研究方向=338</t>
  </si>
  <si>
    <t>https://www.ludengkaoyan.com/school8/qrz/zsml/148.html</t>
  </si>
  <si>
    <t>(020)理学院 (00)不区分研究方向=323</t>
  </si>
  <si>
    <t>https://www.ludengkaoyan.com/school8/qrz/zsml/146286.html</t>
  </si>
  <si>
    <t>(020)理学院 (00)不区分研究方向=324</t>
  </si>
  <si>
    <t>https://www.ludengkaoyan.com/school8/qrz/zsml/276473.html</t>
  </si>
  <si>
    <t>(002)经济学院 (00)不区分研究方向=338；(014)数学与统计学院 (01)数据科学=338</t>
  </si>
  <si>
    <t>https://www.ludengkaoyan.com/school60/qrz/zsml/16414.html</t>
  </si>
  <si>
    <t>(002)经济学院 (00)不区分研究方向=323；(014)数学与统计学院 (01)数据科学=323</t>
  </si>
  <si>
    <t>https://www.ludengkaoyan.com/school60/qrz/zsml/162085.html</t>
  </si>
  <si>
    <t>(002)经济学院 (00)不区分研究方向=324；(014)数学与统计学院 (01)数据科学=324</t>
  </si>
  <si>
    <t>https://www.ludengkaoyan.com/school60/qrz/zsml/291880.html</t>
  </si>
  <si>
    <t>(010)数学与统计学院 (01)不区分研究方向1=338</t>
  </si>
  <si>
    <t>https://www.ludengkaoyan.com/school92/qrz/zsml/16698.html</t>
  </si>
  <si>
    <t>(010)数学与统计学院 (01)不区分研究方向1=323</t>
  </si>
  <si>
    <t>https://www.ludengkaoyan.com/school92/qrz/zsml/228568.html</t>
  </si>
  <si>
    <t>(010)数学与统计学院 (01)不区分研究方向1=324</t>
  </si>
  <si>
    <t>https://www.ludengkaoyan.com/school92/qrz/zsml/356990.html</t>
  </si>
  <si>
    <t>(007)经济管理学院 (00)不区分研究方向=338</t>
  </si>
  <si>
    <t>https://www.ludengkaoyan.com/school45/qrz/zsml/132.html</t>
  </si>
  <si>
    <t>(007)经济管理学院 (00)不区分研究方向=323</t>
  </si>
  <si>
    <t>https://www.ludengkaoyan.com/school45/qrz/zsml/141982.html</t>
  </si>
  <si>
    <t>(007)经济管理学院 (00)不区分研究方向=324</t>
  </si>
  <si>
    <t>https://www.ludengkaoyan.com/school45/qrz/zsml/272230.html</t>
  </si>
  <si>
    <t>(011)理学院 (01)金融统计=338；(011)理学院 (02)大数据分析=338；(011)理学院 (03)生物统计=338</t>
  </si>
  <si>
    <t>https://www.ludengkaoyan.com/school57/qrz/zsml/195.html</t>
  </si>
  <si>
    <t>(011)理学院 (01)金融统计=323；(011)理学院 (02)大数据分析=323；(011)理学院 (03)生物统计=323</t>
  </si>
  <si>
    <t>https://www.ludengkaoyan.com/school57/qrz/zsml/157953.html</t>
  </si>
  <si>
    <t>(011)理学院 (01)金融统计=324；(011)理学院 (02)大数据分析=324；(011)理学院 (03)生物统计=324</t>
  </si>
  <si>
    <t>https://www.ludengkaoyan.com/school57/qrz/zsml/288816.html</t>
  </si>
  <si>
    <t>384（机构2022汇总；多方向取最高普通线）</t>
  </si>
  <si>
    <t>(005)理学院 (01)生物统计=338；(005)理学院 (02)医药经济=338；(005)理学院 (03)流行病控制理论方法与应用=338；(005)理学院 (04)大数据分析理论及应用=338</t>
  </si>
  <si>
    <t>https://www.ludengkaoyan.com/school79/qrz/zsml/16525.html</t>
  </si>
  <si>
    <t>(005)理学院 (01)生物统计=323；(005)理学院 (02)医药经济=323；(005)理学院 (03)流行病控制理论方法与应用=323；(005)理学院 (04)大数据分析理论及应用=323</t>
  </si>
  <si>
    <t>https://www.ludengkaoyan.com/school79/qrz/zsml/190758.html</t>
  </si>
  <si>
    <t>(005)理学院 (01)生物统计=324；(005)理学院 (02)医药经济=324；(005)理学院 (03)流行病控制理论方法与应用=324；(005)理学院 (04)大数据分析理论及应用=324</t>
  </si>
  <si>
    <t>https://www.ludengkaoyan.com/school79/qrz/zsml/319256.html</t>
  </si>
  <si>
    <t>(002)经济管理学院 (01)社会经济统计=338；(002)经济管理学院 (02)金融统计=338</t>
  </si>
  <si>
    <t>https://www.ludengkaoyan.com/school84/qrz/zsml/16589.html</t>
  </si>
  <si>
    <t>(002)经济管理学院 (01)经济统计=323；(002)经济管理学院 (02)金融统计与风险管理=323；(002)经济管理学院 (03)大数据分析=323；(002)经济管理学院 (04)工业统计=323</t>
  </si>
  <si>
    <t>https://www.ludengkaoyan.com/school84/qrz/zsml/205341.html</t>
  </si>
  <si>
    <t>(002)经济管理学院 (01)不分研究方向=324</t>
  </si>
  <si>
    <t>https://www.ludengkaoyan.com/school84/qrz/zsml/333334.html</t>
  </si>
  <si>
    <t>(317)信息学院 (01)生物统计=338；(317)信息学院 (02)经济统计=338</t>
  </si>
  <si>
    <t>https://www.ludengkaoyan.com/school89/qrz/zsml/16677.html</t>
  </si>
  <si>
    <t>(317)信息学院 (01)生物统计=323；(317)信息学院 (02)经济统计=323</t>
  </si>
  <si>
    <t>https://www.ludengkaoyan.com/school89/qrz/zsml/223152.html</t>
  </si>
  <si>
    <t>(317)信息学院 (01)生物统计=324；(317)信息学院 (02)经济统计=324</t>
  </si>
  <si>
    <t>https://www.ludengkaoyan.com/school89/qrz/zsml/351548.html</t>
  </si>
  <si>
    <t>(031)大数据与统计学院 (01)经济统计=338；(031)大数据与统计学院 (02)金融统计=338；(031)大数据与统计学院 (03)数据科学及其应用=338；(031)大数据与统计学院 (04)统计预测与决策=338；(031)大数据与统计学院 (05)数理统计=338</t>
  </si>
  <si>
    <t>https://www.ludengkaoyan.com/school81/qrz/zsml/16555.html</t>
  </si>
  <si>
    <t>(031)大数据与统计学院 (01)经济统计=323；(031)大数据与统计学院 (02)金融统计=323；(031)大数据与统计学院 (03)数据科学及其应用=323；(031)大数据与统计学院 (04)统计预测与决策=323；(031)大数据与统计学院 (05)数理统计=323；(031)大数据与统计学院 (06)风险管理=323</t>
  </si>
  <si>
    <t>https://www.ludengkaoyan.com/school81/qrz/zsml/197493.html</t>
  </si>
  <si>
    <t>(031)大数据与统计学院 (01)经济统计=324；(031)大数据与统计学院 (02)金融统计=324；(031)大数据与统计学院 (03)数据科学及其应用=324；(031)大数据与统计学院 (04)统计预测与决策=324；(031)大数据与统计学院 (05)数理统计=324；(031)大数据与统计学院 (06)风险管理=324</t>
  </si>
  <si>
    <t>https://www.ludengkaoyan.com/school81/qrz/zsml/326305.html</t>
  </si>
  <si>
    <t>(011)理学院 (01)生物统计=338；(011)理学院 (02)大数据分析=338；(011)理学院 (03)经济与金融统计=338</t>
  </si>
  <si>
    <t>https://www.ludengkaoyan.com/school78/qrz/zsml/16522.html</t>
  </si>
  <si>
    <t>(011)理学院 (01)生物统计=323；(011)理学院 (02)大数据分析=323；(011)理学院 (03)经济与金融统计=323</t>
  </si>
  <si>
    <t>https://www.ludengkaoyan.com/school78/qrz/zsml/189036.html</t>
  </si>
  <si>
    <t>(011)理学院 (01)生物统计=324；(011)理学院 (02)大数据分析=324；(011)理学院 (03)经济与金融统计=324</t>
  </si>
  <si>
    <t>https://www.ludengkaoyan.com/school78/qrz/zsml/317394.html</t>
  </si>
  <si>
    <t>(012)数学学院 (00)不区分研究方向=338</t>
  </si>
  <si>
    <t>https://www.ludengkaoyan.com/school58/qrz/zsml/16402.html</t>
  </si>
  <si>
    <t>(012)数学学院 (00)不区分研究方向=323</t>
  </si>
  <si>
    <t>https://www.ludengkaoyan.com/school58/qrz/zsml/160822.html</t>
  </si>
  <si>
    <t>325（数学学院025200）</t>
  </si>
  <si>
    <t>数学学院025200</t>
  </si>
  <si>
    <t>https://www.gs.tyut.edu.cn/info/1261/15529.htm</t>
  </si>
  <si>
    <t>(140)数学与统计学院 (00)不区分研究方向=328</t>
  </si>
  <si>
    <t>https://www.ludengkaoyan.com/school101/qrz/zsml/16758.html</t>
  </si>
  <si>
    <t>(140)数学与统计学院 (00)不区分研究方向=313</t>
  </si>
  <si>
    <t>https://www.ludengkaoyan.com/school101/qrz/zsml/257361.html</t>
  </si>
  <si>
    <t>(140)数学与统计学院 (00)不区分研究方向=314</t>
  </si>
  <si>
    <t>https://www.ludengkaoyan.com/school101/qrz/zsml/384160.html</t>
  </si>
  <si>
    <t>(036)数学科学学院 (00)不区分研究方向=328</t>
  </si>
  <si>
    <t>https://www.ludengkaoyan.com/school59/qrz/zsml/16408.html</t>
  </si>
  <si>
    <t>(036)数学科学学院 (00)不区分研究方向=313</t>
  </si>
  <si>
    <t>https://www.ludengkaoyan.com/school59/qrz/zsml/251700.html</t>
  </si>
  <si>
    <t>(036)数学科学学院 (00)不区分研究方向=314</t>
  </si>
  <si>
    <t>https://www.ludengkaoyan.com/school59/qrz/zsml/378828.html</t>
  </si>
  <si>
    <t>(011)文理学院 (00)不区分研究方向=323</t>
  </si>
  <si>
    <t>https://www.ludengkaoyan.com/school65/qrz/zsml/172218.html</t>
  </si>
  <si>
    <t>(011)文理学院 (00)不区分研究方向=324</t>
  </si>
  <si>
    <t>https://www.ludengkaoyan.com/school65/qrz/zsml/302625.html</t>
  </si>
  <si>
    <t>(015)理学院 (00)不区分研究方向=338</t>
  </si>
  <si>
    <t>https://www.ludengkaoyan.com/school66/qrz/zsml/16441.html</t>
  </si>
  <si>
    <t>(015)理学院 (00)不区分研究方向=323</t>
  </si>
  <si>
    <t>https://www.ludengkaoyan.com/school66/qrz/zsml/172198.html</t>
  </si>
  <si>
    <t>(015)理学院 (00)不区分研究方向=324</t>
  </si>
  <si>
    <t>https://www.ludengkaoyan.com/school66/qrz/zsml/302749.html</t>
  </si>
  <si>
    <t>(201)数学与系统科学学院（数学物理研究所） (01)金融统计与风险管理=328；(201)数学与系统科学学院（数学物理研究所） (02)数据与智能科学=328；(201)数学与系统科学学院（数学物理研究所） (03)生物医学统计=328</t>
  </si>
  <si>
    <t>https://www.ludengkaoyan.com/school110/qrz/zsml/16803.html</t>
  </si>
  <si>
    <t>(201)数学与系统科学学院 (01)金融统计与风险管理=313；(201)数学与系统科学学院 (02)数据与智能科学=313；(201)数学与系统科学学院 (03)生物医学统计=313</t>
  </si>
  <si>
    <t>https://www.ludengkaoyan.com/school110/qrz/zsml/265479.html</t>
  </si>
  <si>
    <t>(201)数学与系统科学学院 (01)金融统计与风险管理=314；(201)数学与系统科学学院 (02)数据与智能科学=314；(201)数学与系统科学学院 (03)生物医学统计=314</t>
  </si>
  <si>
    <t>https://www.ludengkaoyan.com/school110/qrz/zsml/391996.html</t>
  </si>
  <si>
    <t>(001)理学院 (01)金融统计和风险管理=338；(001)理学院 (02)大数据与机器学习=338；(001)理学院 (03)经济与社会统计=338</t>
  </si>
  <si>
    <t>https://www.ludengkaoyan.com/school62/qrz/zsml/16428.html</t>
  </si>
  <si>
    <t>(001)理学院 (01)金融统计和风险管理=323；(001)理学院 (02)大数据与机器学习=323；(001)理学院 (03)经济与社会统计=323</t>
  </si>
  <si>
    <t>https://www.ludengkaoyan.com/school62/qrz/zsml/168310.html</t>
  </si>
  <si>
    <t>(001)理学院 (01)金融统计和风险管理=324；(001)理学院 (02)大数据与机器学习=324；(001)理学院 (03)经济与社会统计=324</t>
  </si>
  <si>
    <t>https://www.ludengkaoyan.com/school62/qrz/zsml/298560.html</t>
  </si>
  <si>
    <t>(013)数学统计学院 (01)大数据统计分析及其应用=313；(013)数学统计学院 (02)人工智能与数据科学=313；(013)数学统计学院 (03)行业大模型算法与应用=313</t>
  </si>
  <si>
    <t>https://www.ludengkaoyan.com/school109/qrz/zsml/264803.html</t>
  </si>
  <si>
    <t>(013)数学统计学院 (01)大数据统计分析及其应用=314；(013)数学统计学院 (02)人工智能与数据科学=314；(013)数学统计学院 (03)行业大模型算法与应用=314</t>
  </si>
  <si>
    <t>https://www.ludengkaoyan.com/school109/qrz/zsml/391452.html</t>
  </si>
  <si>
    <t>(016)经济与管理学院 (00)不区分研究方向=328</t>
  </si>
  <si>
    <t>https://www.ludengkaoyan.com/school111/qrz/zsml/16806.html</t>
  </si>
  <si>
    <t>(016)经济与管理学院 (00)不区分研究方向=313</t>
  </si>
  <si>
    <t>https://www.ludengkaoyan.com/school111/qrz/zsml/266216.html</t>
  </si>
  <si>
    <t>(016)经济与管理学院 (00)不区分研究方向=314</t>
  </si>
  <si>
    <t>https://www.ludengkaoyan.com/school111/qrz/zsml/392408.html</t>
  </si>
  <si>
    <t>卡方训练营 · 432定向班原始55篇索引</t>
  </si>
  <si>
    <t>指标</t>
  </si>
  <si>
    <t>数量</t>
  </si>
  <si>
    <t>口径</t>
  </si>
  <si>
    <t>备注</t>
  </si>
  <si>
    <t>原始文章</t>
  </si>
  <si>
    <t>标题含432定向班</t>
  </si>
  <si>
    <t>不是学校数</t>
  </si>
  <si>
    <t>唯一项目</t>
  </si>
  <si>
    <t>南昌大学重复去重</t>
  </si>
  <si>
    <t>华北电力北京/保定仍是两个项目</t>
  </si>
  <si>
    <t>主表学校覆盖</t>
  </si>
  <si>
    <t>合并华北电力、剔除深圳大学</t>
  </si>
  <si>
    <t>对应81校主表</t>
  </si>
  <si>
    <t>取得海报</t>
  </si>
  <si>
    <t>公开正文图片</t>
  </si>
  <si>
    <t>上海交大、西财为0</t>
  </si>
  <si>
    <t>序号</t>
  </si>
  <si>
    <t>学校/项目</t>
  </si>
  <si>
    <t>标题</t>
  </si>
  <si>
    <t>发布日期</t>
  </si>
  <si>
    <t>文章状态</t>
  </si>
  <si>
    <t>海报数</t>
  </si>
  <si>
    <t>OCR分片</t>
  </si>
  <si>
    <t>重复</t>
  </si>
  <si>
    <t>985/211主表范围</t>
  </si>
  <si>
    <t>OCR关键词</t>
  </si>
  <si>
    <t>文章URL</t>
  </si>
  <si>
    <t>说明</t>
  </si>
  <si>
    <t>2027卡方课程 | 复旦大学432定向班</t>
  </si>
  <si>
    <t>2026-05-15</t>
  </si>
  <si>
    <t>ok</t>
  </si>
  <si>
    <t>教材、资料、概统、概率论、数理统计、统计推断、茆诗松、贾俊平、李贤平、计算、真题、复试</t>
  </si>
  <si>
    <t>https://mp.weixin.qq.com/s?__biz=MzIxNTM0MjQ3OA==&amp;mid=2247512534&amp;idx=1&amp;sn=25722993d38d5b0acd093b7757f6e520&amp;chksm=979b3d37a0ecb42110ff784aa8a781557f08ab3d08113be8509a802071809343cb21dcb8ca6b#rd</t>
  </si>
  <si>
    <t>OCR仅用于检索；教材/题型结论需按海报和官网复核</t>
  </si>
  <si>
    <t>2027卡方课程 | 上海交通大学432定向班</t>
  </si>
  <si>
    <t>https://mp.weixin.qq.com/s?__biz=MzIxNTM0MjQ3OA==&amp;mid=2247512534&amp;idx=2&amp;sn=4015d0cb86b8db9f0376994d0d77a831&amp;chksm=979b3d37a0ecb4212d8f23a7389caca2e70d486cbe1c51668186042e09f667890dade7644b43#rd</t>
  </si>
  <si>
    <t>2027卡方课程 | 清华大学432定向班</t>
  </si>
  <si>
    <t>教材、参考、资料、概统、概率论、数理统计、统计推断、茆诗松、贾俊平、李贤平、Casella、真题、复试</t>
  </si>
  <si>
    <t>https://mp.weixin.qq.com/s?__biz=MzIxNTM0MjQ3OA==&amp;mid=2247512534&amp;idx=3&amp;sn=ae2a8cb748cc173db5386afe0b3af9de&amp;chksm=979b3d37a0ecb4213ee37666e59ed57a2ae8e0e99b1bc6dbd3f2f28c485b74191af91efa88d3#rd</t>
  </si>
  <si>
    <t>2027卡方课程 | 南京大学432定向班</t>
  </si>
  <si>
    <t>教材、参考、资料、概统、概率论、数理统计、茆诗松、贾俊平、李贤平、真题、复试</t>
  </si>
  <si>
    <t>https://mp.weixin.qq.com/s?__biz=MzIxNTM0MjQ3OA==&amp;mid=2247512534&amp;idx=5&amp;sn=39474eacfbc04d478cd215472b72feef&amp;chksm=979b3d37a0ecb421d14e173c016cd120939a1fd157c8cc774bebe4d6e248cbd73dcf514e4cfc#rd</t>
  </si>
  <si>
    <t>2027卡方课程 | 中山大学432定向班</t>
  </si>
  <si>
    <t>教材、资料、概统、概率论、数理统计、统计推断、茆诗松、贾俊平、李贤平、Casella、真题、复试</t>
  </si>
  <si>
    <t>https://mp.weixin.qq.com/s?__biz=MzIxNTM0MjQ3OA==&amp;mid=2247512534&amp;idx=6&amp;sn=2c6e5c93068eb54f9d0838bc7c16ff83&amp;chksm=979b3d37a0ecb42150bcbac900b827ff0a45afd3fd20b60a3418458610e6b6a7e947a2143c84#rd</t>
  </si>
  <si>
    <t>2027卡方课程 | 中国人民大学432定向班</t>
  </si>
  <si>
    <t>教材、参考、资料、概统、概率论、数理统计、统计学、茆诗松、贾俊平、简答、真题、复试</t>
  </si>
  <si>
    <t>https://mp.weixin.qq.com/s?__biz=MzIxNTM0MjQ3OA==&amp;mid=2247512534&amp;idx=7&amp;sn=822b4cc05b6c92ae7a7e004c97cd8594&amp;chksm=979b3d37a0ecb421ee543b35fd8171a056b0dd42eb2c1d8a74ad0fd9d429010a145ea3354e05#rd</t>
  </si>
  <si>
    <t>2027卡方课程 | 北京师范大学432定向班</t>
  </si>
  <si>
    <t>2026-05-16</t>
  </si>
  <si>
    <t>https://mp.weixin.qq.com/s?__biz=MzIxNTM0MjQ3OA==&amp;mid=2247512620&amp;idx=1&amp;sn=cb66d37cb7bcb9de75ba9eba0d2adf5f&amp;chksm=979b3ecda0ecb7db75a999a83645e7c72fabb0d945a2bbb48117ce049b69031af07f2ccfc45b#rd</t>
  </si>
  <si>
    <t>2027卡方课程 | 同济大学432定向班</t>
  </si>
  <si>
    <t>教材、资料、概统、概率论、数理统计、茆诗松、贾俊平、真题、复试</t>
  </si>
  <si>
    <t>https://mp.weixin.qq.com/s?__biz=MzIxNTM0MjQ3OA==&amp;mid=2247512620&amp;idx=2&amp;sn=f0d99f9642827700275e0770152db6d6&amp;chksm=979b3ecda0ecb7db048131194bbd55822b33ca61001a7c34627f70c01395cc16a9013cc5556c#rd</t>
  </si>
  <si>
    <t>2027卡方课程 | 华东师范大学432定向班</t>
  </si>
  <si>
    <t>https://mp.weixin.qq.com/s?__biz=MzIxNTM0MjQ3OA==&amp;mid=2247512620&amp;idx=3&amp;sn=67c01f030d180421fdb44b3b58162a55&amp;chksm=979b3ecda0ecb7db5f513a6e49c86d8cf6c21bc729388b53d05305eece2d032410d7d0f12c32#rd</t>
  </si>
  <si>
    <t>2027卡方课程 | 上海财经大学432定向班</t>
  </si>
  <si>
    <t>https://mp.weixin.qq.com/s?__biz=MzIxNTM0MjQ3OA==&amp;mid=2247512620&amp;idx=5&amp;sn=d438588e27759d3a97642757f70aea44&amp;chksm=979b3ecda0ecb7db2ae79e0239c75e99c34dab10e4fa801b94bc99ec7acb7f757e059c3b2218#rd</t>
  </si>
  <si>
    <t>2027卡方课程 | 对外经济贸易大学432定向班</t>
  </si>
  <si>
    <t>教材、资料、概统、概率论、数理统计、统计学、茆诗松、贾俊平、简答、真题、复试</t>
  </si>
  <si>
    <t>https://mp.weixin.qq.com/s?__biz=MzIxNTM0MjQ3OA==&amp;mid=2247512620&amp;idx=6&amp;sn=50c02f66ca6b0e3244711d91bb66f1f0&amp;chksm=979b3ecda0ecb7dbd5d827f5cb3ee68a084def7f13ee3691d89db175cdef9f2299385c22bd97#rd</t>
  </si>
  <si>
    <t>2027卡方课程 | 中央财经大学432定向班</t>
  </si>
  <si>
    <t>https://mp.weixin.qq.com/s?__biz=MzIxNTM0MjQ3OA==&amp;mid=2247512620&amp;idx=7&amp;sn=90e999f773cdc73a84ad4d7bbf9688e0&amp;chksm=979b3ecda0ecb7db7f29a2d6f4953d751b8aae1879c6857b710abeaf54acf664d7828c3b07d1#rd</t>
  </si>
  <si>
    <t>2027卡方课程 | 厦门大学432定向班</t>
  </si>
  <si>
    <t>2026-05-17</t>
  </si>
  <si>
    <t>https://mp.weixin.qq.com/s?__biz=MzIxNTM0MjQ3OA==&amp;mid=2247512712&amp;idx=1&amp;sn=bc3168bdaac93b987de6da60f4a3a80e&amp;chksm=979b3e69a0ecb77f8ce94e341e315f93717bd46187fc07a6d1cb22c624f129e1675ed43bb911#rd</t>
  </si>
  <si>
    <t>2027卡方课程 | 华中科技大学432定向班</t>
  </si>
  <si>
    <t>https://mp.weixin.qq.com/s?__biz=MzIxNTM0MjQ3OA==&amp;mid=2247512712&amp;idx=2&amp;sn=c57fa88b4797ea6afb763fc7ed5d77d1&amp;chksm=979b3e69a0ecb77f93d4cf7e138104061bc8d29bf95e262130c2ed25e234195ef4e8497af0dc#rd</t>
  </si>
  <si>
    <t>2027卡方课程 | 武汉大学432定向班</t>
  </si>
  <si>
    <t>教材、资料、概统、概率论、数理统计、统计学、茆诗松、贾俊平、李贤平、简答、真题、复试</t>
  </si>
  <si>
    <t>https://mp.weixin.qq.com/s?__biz=MzIxNTM0MjQ3OA==&amp;mid=2247512712&amp;idx=4&amp;sn=371b8bec9ea9653ba63e508052448b06&amp;chksm=979b3e69a0ecb77fbef3cf0360c5eaa5ec13c5646b5d369ecb4bf1107f7d14853e5224e0ee60#rd</t>
  </si>
  <si>
    <t>2027卡方课程 | 四川大学432定向班</t>
  </si>
  <si>
    <t>https://mp.weixin.qq.com/s?__biz=MzIxNTM0MjQ3OA==&amp;mid=2247512712&amp;idx=5&amp;sn=c499059e84d8ed37d7204ad354bc9827&amp;chksm=979b3e69a0ecb77fe0cbd32dfe7848475251a1df494f07a8bc57417ac2ed3dbae293bc9457ed#rd</t>
  </si>
  <si>
    <t>2027卡方课程 | 中国科学技术大学432定向班</t>
  </si>
  <si>
    <t>https://mp.weixin.qq.com/s?__biz=MzIxNTM0MjQ3OA==&amp;mid=2247512712&amp;idx=6&amp;sn=b3d2b71098334218c0f8767210e6bb0b&amp;chksm=979b3e69a0ecb77fddae53bf2ce5ab4d709c587c2487a499f77634390372f6d32ab5d898277c#rd</t>
  </si>
  <si>
    <t>2027卡方课程 | 中南大学432定向班</t>
  </si>
  <si>
    <t>https://mp.weixin.qq.com/s?__biz=MzIxNTM0MjQ3OA==&amp;mid=2247512712&amp;idx=7&amp;sn=7840f28958291b3b0f4c4c2eccd0d68b&amp;chksm=979b3e69a0ecb77f99db1a0f1ceff2726ea5130a6cb9861315cfc850f4fccb468ed260d2196c#rd</t>
  </si>
  <si>
    <t>2027卡方课程 | 东南大学432定向班</t>
  </si>
  <si>
    <t>https://mp.weixin.qq.com/s?__biz=MzIxNTM0MjQ3OA==&amp;mid=2247512712&amp;idx=8&amp;sn=83d64b9ff74b4e399cde0cbc049fdc4a&amp;chksm=979b3e69a0ecb77f8529c4ffd017f2b4e21913a2f220f84499b2ffaefb9b08583557bc520adf#rd</t>
  </si>
  <si>
    <t>2027卡方课程 | 西南财经大学432定向班</t>
  </si>
  <si>
    <t>2026-05-19</t>
  </si>
  <si>
    <t>https://mp.weixin.qq.com/s?__biz=MzIxNTM0MjQ3OA==&amp;mid=2247512789&amp;idx=1&amp;sn=eb5ef58df50dd42e000a8e6d97dd2070&amp;chksm=979b3e34a0ecb7220c46e84dc744d055aa5fabfe4433bd45f4e2cccb87b88e8540fb7470d94d#rd</t>
  </si>
  <si>
    <t>2027卡方课程 | 中南财经政法大学432定向班</t>
  </si>
  <si>
    <t>https://mp.weixin.qq.com/s?__biz=MzIxNTM0MjQ3OA==&amp;mid=2247512789&amp;idx=2&amp;sn=8535acf92737d8d2bece1d2d7714857f&amp;chksm=979b3e34a0ecb72256604201685dc00bf34e62103c802d06ec67339ece24e54a10c8c42b59b6#rd</t>
  </si>
  <si>
    <t>2027卡方课程 | 山东大学432定向班</t>
  </si>
  <si>
    <t>教材、资料、概统、概率论、数理统计、茆诗松、贾俊平、李贤平、真题、复试</t>
  </si>
  <si>
    <t>https://mp.weixin.qq.com/s?__biz=MzIxNTM0MjQ3OA==&amp;mid=2247512789&amp;idx=3&amp;sn=931a68e9938614fac0957aaa2cc2956a&amp;chksm=979b3e34a0ecb72295ee359aeb97d6145cc8bc2e2d4eb91a1d6a7c0516cff8df28b13403d1e2#rd</t>
  </si>
  <si>
    <t>2027卡方课程 | 西安交通大学432定向班</t>
  </si>
  <si>
    <t>https://mp.weixin.qq.com/s?__biz=MzIxNTM0MjQ3OA==&amp;mid=2247512789&amp;idx=4&amp;sn=d2a8162359a10e1e2baff7445d123183&amp;chksm=979b3e34a0ecb7221c170252dc3a6c1f352bbb80676ceae0d224de5efe9eb1add04eae2881d0#rd</t>
  </si>
  <si>
    <t>2027卡方课程 | 哈尔滨工业大学432定向班</t>
  </si>
  <si>
    <t>https://mp.weixin.qq.com/s?__biz=MzIxNTM0MjQ3OA==&amp;mid=2247512789&amp;idx=5&amp;sn=4bd72f43ccb1583eea1ea37c8f860599&amp;chksm=979b3e34a0ecb7221e7556f86fecbd60dad1bc07febd297b7ce32943b6c06fd3041f26e053c8#rd</t>
  </si>
  <si>
    <t>2027卡方课程 | 苏州大学432定向班</t>
  </si>
  <si>
    <t>https://mp.weixin.qq.com/s?__biz=MzIxNTM0MjQ3OA==&amp;mid=2247512789&amp;idx=6&amp;sn=7361e7c6741f0bb9777f14639cc708c0&amp;chksm=979b3e34a0ecb7223ebd9455e2a469d1903ac2710a4f275e13e6df3744912a0e601101ae1aa3#rd</t>
  </si>
  <si>
    <t>2027卡方课程 | 兰州大学432定向班</t>
  </si>
  <si>
    <t>2026-05-20</t>
  </si>
  <si>
    <t>https://mp.weixin.qq.com/s?__biz=MzIxNTM0MjQ3OA==&amp;mid=2247512808&amp;idx=1&amp;sn=acaacadc07110f407ba51b043ad26cb1&amp;chksm=979b3e09a0ecb71f7157f25a2f702f20cb9ebadb51e6bd1f51d24ff7f6ecd5edeff984c0aa72#rd</t>
  </si>
  <si>
    <t>2027卡方课程 | 暨南大学432定向班</t>
  </si>
  <si>
    <t>https://mp.weixin.qq.com/s?__biz=MzIxNTM0MjQ3OA==&amp;mid=2247512808&amp;idx=2&amp;sn=139c8e43a5b737a0396072e5dac20086&amp;chksm=979b3e09a0ecb71f64f527117f3c5c9bf2ac25008b391a8923142d9c2611177e23934ad90e67#rd</t>
  </si>
  <si>
    <t>2027卡方课程 | 中央民族大学432定向班</t>
  </si>
  <si>
    <t>https://mp.weixin.qq.com/s?__biz=MzIxNTM0MjQ3OA==&amp;mid=2247512808&amp;idx=3&amp;sn=828a1f8b070a6896d8809b52f1f02aaf&amp;chksm=979b3e09a0ecb71f0471bf0e8eb8a7ab18d496558114f319f56890f855b0c63f354055f82b26#rd</t>
  </si>
  <si>
    <t>2027卡方课程 | 西南大学432定向班</t>
  </si>
  <si>
    <t>https://mp.weixin.qq.com/s?__biz=MzIxNTM0MjQ3OA==&amp;mid=2247512808&amp;idx=4&amp;sn=5701d18e0934592eb942c6143f3210cc&amp;chksm=979b3e09a0ecb71f51bc36345a6eab01a732ebc956957d3faae7ba9982a439be42594a7ea56b#rd</t>
  </si>
  <si>
    <t>2027卡方课程 | 南京理工大学432定向班</t>
  </si>
  <si>
    <t>https://mp.weixin.qq.com/s?__biz=MzIxNTM0MjQ3OA==&amp;mid=2247512808&amp;idx=5&amp;sn=b6a6a2dd25b0afc10efbd35ae6494770&amp;chksm=979b3e09a0ecb71fac49a77d6e3f0ab0a472ba38f6fc97e83ac0303f64e2eb516f8b5cfe3165#rd</t>
  </si>
  <si>
    <t>2027卡方课程 | 南京航空航天大学432定向班</t>
  </si>
  <si>
    <t>https://mp.weixin.qq.com/s?__biz=MzIxNTM0MjQ3OA==&amp;mid=2247512808&amp;idx=6&amp;sn=9135bc73e1eddbd7aeffa013d9a61eee&amp;chksm=979b3e09a0ecb71f89bcc15c12e133b00bb84670b4c664ec60c03f6edd82e63e8eb93b18a07f#rd</t>
  </si>
  <si>
    <t>2027卡方课程 | 西安电子科技大学432定向班</t>
  </si>
  <si>
    <t>https://mp.weixin.qq.com/s?__biz=MzIxNTM0MjQ3OA==&amp;mid=2247512808&amp;idx=7&amp;sn=b355d80eaf302089b1f0a03e8ee4de5f&amp;chksm=979b3e09a0ecb71f503f4b20ea13814b472bfb74302a0bb8be3f6b17f1d43ce33127418681aa#rd</t>
  </si>
  <si>
    <t>2027卡方课程 | 重庆大学432定向班</t>
  </si>
  <si>
    <t>https://mp.weixin.qq.com/s?__biz=MzIxNTM0MjQ3OA==&amp;mid=2247512808&amp;idx=8&amp;sn=60a0311fc99df41a43fbad1ea1ce09dc&amp;chksm=979b3e09a0ecb71f6841a5c1e78c9ef2c5b393ccd29c35d1fe568e60f760b2d4ec19f3665ec8#rd</t>
  </si>
  <si>
    <t>2027卡方课程 | 上海大学432定向班</t>
  </si>
  <si>
    <t>2026-06-03</t>
  </si>
  <si>
    <t>https://mp.weixin.qq.com/s?__biz=MzIxNTM0MjQ3OA==&amp;mid=2247513033&amp;idx=1&amp;sn=1128ab6e03ff747fb949367db94163e4&amp;chksm=979b3f28a0ecb63e1451d12be909fb54999668a15c1951f3d1ff8c09da6f1f0a5e82c565f591#rd</t>
  </si>
  <si>
    <t>2027卡方课程 | 华东理工大学432定向班</t>
  </si>
  <si>
    <t>教材、资料、概统、概率论、数理统计、茆诗松、贾俊平、简答、真题、复试</t>
  </si>
  <si>
    <t>https://mp.weixin.qq.com/s?__biz=MzIxNTM0MjQ3OA==&amp;mid=2247513033&amp;idx=2&amp;sn=7a917baaf2aa13ad20dbf9d50aae8570&amp;chksm=979b3f28a0ecb63e627ef57f10bb0ea365bd30b207eea14b4fa620507e19252bab5a0e9b661a#rd</t>
  </si>
  <si>
    <t>2027卡方课程 | 东华大学432定向班</t>
  </si>
  <si>
    <t>https://mp.weixin.qq.com/s?__biz=MzIxNTM0MjQ3OA==&amp;mid=2247513033&amp;idx=3&amp;sn=468fe1308aabde0964811b1db1b7815e&amp;chksm=979b3f28a0ecb63ec004fe0798ddf0b9ef601c8e874146f792921367fd7e11fa3258bdee0e8a#rd</t>
  </si>
  <si>
    <t>华北电力大学(北京)</t>
  </si>
  <si>
    <t>2027卡方课程 | 华北电力大学(北京)432定向班</t>
  </si>
  <si>
    <t>https://mp.weixin.qq.com/s?__biz=MzIxNTM0MjQ3OA==&amp;mid=2247513033&amp;idx=4&amp;sn=32cc29e9adcf6fab93a16d0faabd7ac5&amp;chksm=979b3f28a0ecb63e70678360a6ccbea5bad0e0d9cf6381767c4099d1b3744990d55a484cf203#rd</t>
  </si>
  <si>
    <t>华北电力大学(保定)</t>
  </si>
  <si>
    <t>2027卡方课程 | 华北电力大学(保定)432定向班</t>
  </si>
  <si>
    <t>https://mp.weixin.qq.com/s?__biz=MzIxNTM0MjQ3OA==&amp;mid=2247513033&amp;idx=5&amp;sn=0a91ac77342c421772c37429e1b28f56&amp;chksm=979b3f28a0ecb63e136eeab591f7645b909f074748d46fa7ad0ce77e04e7afcf27a0b1e823ca#rd</t>
  </si>
  <si>
    <t>2027卡方课程 | 华中农业大学432定向班</t>
  </si>
  <si>
    <t>https://mp.weixin.qq.com/s?__biz=MzIxNTM0MjQ3OA==&amp;mid=2247513033&amp;idx=6&amp;sn=81f90f409414cb35f65ab56cd059bfaa&amp;chksm=979b3f28a0ecb63e36b353f8b743d3b1b2763b38063330ac58fffc1c69fd02787b4819d58113#rd</t>
  </si>
  <si>
    <t>深圳大学</t>
  </si>
  <si>
    <t>2027卡方课程 | 深圳大学432定向班</t>
  </si>
  <si>
    <t>否（深圳大学非985/211）</t>
  </si>
  <si>
    <t>https://mp.weixin.qq.com/s?__biz=MzIxNTM0MjQ3OA==&amp;mid=2247513033&amp;idx=7&amp;sn=882c5804444302538ee4eab40552ef86&amp;chksm=979b3f28a0ecb63e5264e3313507ef94b99ea06da8df8baca51156a8217355bb84275f6ff611#rd</t>
  </si>
  <si>
    <t>2027卡方课程 | 河海大学432定向班</t>
  </si>
  <si>
    <t>https://mp.weixin.qq.com/s?__biz=MzIxNTM0MjQ3OA==&amp;mid=2247513033&amp;idx=8&amp;sn=45a8a26e07213bdaa0ebed2634dcc782&amp;chksm=979b3f28a0ecb63e93bff75aee811355da8be486f328968c2f980c7d705aacf1ced9b2694dd0#rd</t>
  </si>
  <si>
    <t>2027卡方课程 | 湖南师范大学432定向班</t>
  </si>
  <si>
    <t>2026-06-12</t>
  </si>
  <si>
    <t>https://mp.weixin.qq.com/s?__biz=MzIxNTM0MjQ3OA==&amp;mid=2247513053&amp;idx=1&amp;sn=bdda8f5914f39dbe348ade3cef56d071&amp;chksm=979b3f3ca0ecb62ace5ec1023e0b03b3836037e6f60ccb5e70f35cab131fe297828f1bebde76#rd</t>
  </si>
  <si>
    <t>2027卡方课程 | 河北工业大学432定向班</t>
  </si>
  <si>
    <t>https://mp.weixin.qq.com/s?__biz=MzIxNTM0MjQ3OA==&amp;mid=2247513053&amp;idx=2&amp;sn=66233d2dfb7640ac12694d56e7486dfc&amp;chksm=979b3f3ca0ecb62afc418a619f0e9f579635373976d3019c38200f45ffec185bca49a63c7027#rd</t>
  </si>
  <si>
    <t>2027卡方课程 | 南昌大学432定向班</t>
  </si>
  <si>
    <t>https://mp.weixin.qq.com/s?__biz=MzIxNTM0MjQ3OA==&amp;mid=2247513053&amp;idx=3&amp;sn=31bcbb84c67efae4f7d23cd6459593aa&amp;chksm=979b3f3ca0ecb62aebc8d0a14f4043d380f75709c0e5e4c5eb17e76c57a59e245c9598826919#rd</t>
  </si>
  <si>
    <t>2027卡方课程 | 华中师范大学432定向班</t>
  </si>
  <si>
    <t>https://mp.weixin.qq.com/s?__biz=MzIxNTM0MjQ3OA==&amp;mid=2247513053&amp;idx=4&amp;sn=270b0b52a649ea83add1103f9e3fdb38&amp;chksm=979b3f3ca0ecb62ab7e7bc34fffb9ae8ff4c4ef777ea21ec0c55add8cf52d33fc8549d3a5bad#rd</t>
  </si>
  <si>
    <t>2027卡方课程 | 西北大学432定向班</t>
  </si>
  <si>
    <t>https://mp.weixin.qq.com/s?__biz=MzIxNTM0MjQ3OA==&amp;mid=2247513053&amp;idx=5&amp;sn=00bdfc0a4cbe8753abf6e441620391ff&amp;chksm=979b3f3ca0ecb62a0e8faf4c0d39f9329c3f5f554008e2b0ac0090f1a152db363d8afc433b48#rd</t>
  </si>
  <si>
    <t>2027卡方课程 | 云南大学432定向班</t>
  </si>
  <si>
    <t>https://mp.weixin.qq.com/s?__biz=MzIxNTM0MjQ3OA==&amp;mid=2247513053&amp;idx=6&amp;sn=321b85defb75adc4aad39ea63bb13063&amp;chksm=979b3f3ca0ecb62af42417f17acc791bcfd4560fb61e17e3f294cee2c4d7ca590bacc7ba9783#rd</t>
  </si>
  <si>
    <t>2027卡方课程 | 安徽大学432定向班</t>
  </si>
  <si>
    <t>2026-06-15</t>
  </si>
  <si>
    <t>https://mp.weixin.qq.com/s?__biz=MzIxNTM0MjQ3OA==&amp;mid=2247513077&amp;idx=1&amp;sn=c684bcb86646833a79610d7d1441b551&amp;chksm=979b3f14a0ecb602d31654a4bdad4f232506543512f8c28a78d496a951a61520fdc8d89e5c66#rd</t>
  </si>
  <si>
    <t>是（南昌大学重复发布）</t>
  </si>
  <si>
    <t>https://mp.weixin.qq.com/s?__biz=MzIxNTM0MjQ3OA==&amp;mid=2247513077&amp;idx=2&amp;sn=8d6c737900d92e5700b44b5144d1d291&amp;chksm=979b3f14a0ecb602e75aa0f67e7617b0997abe438afebdbb6f339ef5f3f0490cdf5ebbd8127a#rd</t>
  </si>
  <si>
    <t>2027卡方课程 | 武汉理工大学432定向班</t>
  </si>
  <si>
    <t>https://mp.weixin.qq.com/s?__biz=MzIxNTM0MjQ3OA==&amp;mid=2247513077&amp;idx=3&amp;sn=ee749c1fce0c732bf446cb4540949a58&amp;chksm=979b3f14a0ecb602a26fcb5401e520e0418c774fc0c09282520fd8dd5cc512906f28c548640d#rd</t>
  </si>
  <si>
    <t>2027卡方课程 | 华南师范大学432定向班</t>
  </si>
  <si>
    <t>https://mp.weixin.qq.com/s?__biz=MzIxNTM0MjQ3OA==&amp;mid=2247513077&amp;idx=4&amp;sn=8c1379953bf535d6a33a4ceccd49df06&amp;chksm=979b3f14a0ecb602218c0a715ea49ba3f13ef30d7b34a22e92ef21c28ce1c5750818abdbb318#rd</t>
  </si>
  <si>
    <t>2027卡方课程 | 中国地质大学（北京）432定向班</t>
  </si>
  <si>
    <t>https://mp.weixin.qq.com/s?__biz=MzIxNTM0MjQ3OA==&amp;mid=2247513077&amp;idx=5&amp;sn=c49c696f831b7147be49a22361c755fa&amp;chksm=979b3f14a0ecb602262c9a14763e36d7b1f6df8ee18381fcc10fbe9b8ac41ff7a182cf126d19#rd</t>
  </si>
  <si>
    <t>2027卡方课程 | 北京工业大学432定向班</t>
  </si>
  <si>
    <t>https://mp.weixin.qq.com/s?__biz=MzIxNTM0MjQ3OA==&amp;mid=2247513077&amp;idx=6&amp;sn=cafbafe924f4d4fb34dc3061043f32b4&amp;chksm=979b3f14a0ecb602c4fbe7d67f54672f566f2e68263f27f2a145af328429dfd0c881e775d6ea#rd</t>
  </si>
  <si>
    <t>2027卡方课程 | 南京农业大学432定向班</t>
  </si>
  <si>
    <t>https://mp.weixin.qq.com/s?__biz=MzIxNTM0MjQ3OA==&amp;mid=2247513077&amp;idx=7&amp;sn=b439aae792a2d661774fcd5a30b683c2&amp;chksm=979b3f14a0ecb602b859d3ca65e1d85707dd947f2da2b876124b088d4ec7d50f262d8d5eec0a#rd</t>
  </si>
  <si>
    <t>2027卡方课程 | 陕西师范大学432定向班</t>
  </si>
  <si>
    <t>2026-07-10</t>
  </si>
  <si>
    <t>https://mp.weixin.qq.com/s?__biz=MzIxNTM0MjQ3OA==&amp;mid=2247513349&amp;idx=5&amp;sn=f2a8441b5ba9bc3e81868465834de822&amp;chksm=979b39e4a0ecb0f22e40903b0674f1dce0bd470edb5a70f7f6a96e36b37af4cecd1df0f0c623#rd</t>
  </si>
  <si>
    <t>来源台账与证据等级</t>
  </si>
  <si>
    <t>来源名称</t>
  </si>
  <si>
    <t>等级</t>
  </si>
  <si>
    <t>覆盖字段</t>
  </si>
  <si>
    <t>URL</t>
  </si>
  <si>
    <t>教育部211名单</t>
  </si>
  <si>
    <t>院校范围</t>
  </si>
  <si>
    <t>https://www.moe.gov.cn/srcsite/A22/s7065/200512/t20051223_82762.html</t>
  </si>
  <si>
    <t>传统211名单口径</t>
  </si>
  <si>
    <t>研招网2026硕士目录</t>
  </si>
  <si>
    <t>2026开设状态、学院、初试科目</t>
  </si>
  <si>
    <t>https://yzst.chsi.com.cn/zsml/</t>
  </si>
  <si>
    <t>本表最新科目首要来源</t>
  </si>
  <si>
    <t>教育部2026国家线</t>
  </si>
  <si>
    <t>国家线底线</t>
  </si>
  <si>
    <t>https://www.moe.gov.cn/jyb_xwfb/gzdt_gzdt/s5987/202602/W020260228373276320816.pdf</t>
  </si>
  <si>
    <t>不得替代学院实际线</t>
  </si>
  <si>
    <t>研招网2023复试线专题</t>
  </si>
  <si>
    <t>官方汇总</t>
  </si>
  <si>
    <t>2023自主划线学校</t>
  </si>
  <si>
    <t>图像OCR后人工摘录重点学校</t>
  </si>
  <si>
    <t>希赛2022应用统计复试线</t>
  </si>
  <si>
    <t>2022分数线</t>
  </si>
  <si>
    <t>二次来源；已在单元格标注</t>
  </si>
  <si>
    <t>路灯考研分数线库</t>
  </si>
  <si>
    <t>2024-2026分数线补齐</t>
  </si>
  <si>
    <t>常含校级/国家线底线，需官网逐项复核</t>
  </si>
  <si>
    <t>希赛2023学制学费</t>
  </si>
  <si>
    <t>学制学费基线</t>
  </si>
  <si>
    <t>https://www.educity.cn/kyyy/5005546.html</t>
  </si>
  <si>
    <t>仅作2023基线；新官方值已覆盖</t>
  </si>
  <si>
    <t>卡方训练营432定向班相册</t>
  </si>
  <si>
    <t>教材/课程结构交叉验证</t>
  </si>
  <si>
    <t>https://mp.weixin.qq.com/mp/appmsgalbum?action=getalbum&amp;__biz=MzIxNTM0MjQ3OA==&amp;scene=1&amp;album_id=4165954014905073674&amp;count=3#wechat_redirect</t>
  </si>
  <si>
    <t>共55篇，南昌大学重复1篇；仅使用432定向班</t>
  </si>
  <si>
    <t>清华2026复试细则</t>
  </si>
  <si>
    <t>2026线、复试形式</t>
  </si>
  <si>
    <t>清华2022-2026拟录取名单</t>
  </si>
  <si>
    <t>五年拟录取初试分布</t>
  </si>
  <si>
    <t>https://www.math.tsinghua.edu.cn/zsjy.htm</t>
  </si>
  <si>
    <t>逐年链接见录取明细</t>
  </si>
  <si>
    <t>南京大学2026复试与拟录取</t>
  </si>
  <si>
    <t>2026线、名单、复录比</t>
  </si>
  <si>
    <t>https://math.nju.edu.cn/zs/sszs/20260402/i371514.html</t>
  </si>
  <si>
    <t>南京大学2025参考书</t>
  </si>
  <si>
    <t>初试/复试教材</t>
  </si>
  <si>
    <t>https://math.nju.edu.cn/DFS/file/2024/10/23/202410231005570921nldll.pdf</t>
  </si>
  <si>
    <t>2026报考前复核是否更新</t>
  </si>
  <si>
    <t>人大统计学院2025复试线</t>
  </si>
  <si>
    <t>2025线</t>
  </si>
  <si>
    <t>人大统计学院2025复试方案</t>
  </si>
  <si>
    <t>复录比例、计划</t>
  </si>
  <si>
    <t>https://stat.ruc.edu.cn/tzgg/8fb8c0c652e04a7c9e6c30b4adb218f6.htm</t>
  </si>
  <si>
    <t>129%，统考计划28</t>
  </si>
  <si>
    <t>人大统计学院2026招生简章</t>
  </si>
  <si>
    <t>学制学费</t>
  </si>
  <si>
    <t>https://stat.ruc.edu.cn/docs/2025-10/75cc7eade489405e8f7c2a2aee9638cf.pdf</t>
  </si>
  <si>
    <t>2年，2.5万元/年</t>
  </si>
  <si>
    <t>重庆大学2025拟录取名单</t>
  </si>
  <si>
    <t>拟录取分布</t>
  </si>
  <si>
    <t>https://yz.cqu.edu.cn/upload/202505/9adafabf.pdf</t>
  </si>
  <si>
    <t>52名普通全日制025200</t>
  </si>
  <si>
    <t>中南财经政法大学2025拟录取名单</t>
  </si>
  <si>
    <t>https://tsxy.zuel.edu.cn/_upload/article/files/15/fa/e5c1c0e24e4190959c6705735842/2b97dccb-1810-4a22-befa-d8a3bced99b9.pdf</t>
  </si>
  <si>
    <t>178名非专项全日制拟录取</t>
  </si>
  <si>
    <t>就现在考研-上海财经</t>
  </si>
  <si>
    <t>参考书与复试形式交叉验证</t>
  </si>
  <si>
    <t>https://www.sjds.net/a/462113.html</t>
  </si>
  <si>
    <t>明确为非官方经验书单</t>
  </si>
  <si>
    <t>就现在考研-华中科技</t>
  </si>
  <si>
    <t>https://www.sjds.net/a/462173.html</t>
  </si>
  <si>
    <t>就现在考研-厦门大学</t>
  </si>
  <si>
    <t>https://www.sjds.net/a/461938.html</t>
  </si>
  <si>
    <t>就现在考研432历年真题索引</t>
  </si>
  <si>
    <t>机构索引（仅线索）</t>
  </si>
  <si>
    <t>逐校可检索年份线索</t>
  </si>
  <si>
    <t>https://www.sjds.net/a/462580.html</t>
  </si>
  <si>
    <t>72/81校命中；未逐份展示原卷，不能用于题型判断或完整份数统计。</t>
  </si>
  <si>
    <t>中国海洋大学往年试题库</t>
  </si>
  <si>
    <t>2018/2019/2021年432原卷</t>
  </si>
  <si>
    <t>三份原卷已逐页核验。</t>
  </si>
  <si>
    <t>山东大学2015年432原题</t>
  </si>
  <si>
    <t>历年真题题型</t>
  </si>
  <si>
    <t>官方提示以后题型可能变化。</t>
  </si>
  <si>
    <t>暨南大学2026年432考试大纲</t>
  </si>
  <si>
    <t>最新范围、题型、参考书</t>
  </si>
  <si>
    <t>简答60、计算90。</t>
  </si>
  <si>
    <t>中国科大2026年432考试大纲</t>
  </si>
  <si>
    <t>填空、选择、解答；不得使用计算器。</t>
  </si>
  <si>
    <t>河北工大2026年432考试大纲</t>
  </si>
  <si>
    <t>以计算题和证明题为主。</t>
  </si>
  <si>
    <t>中国科大2026复试与拟录取名单</t>
  </si>
  <si>
    <t>复录比、拟录取最低分/中位数</t>
  </si>
  <si>
    <t>https://som.ustc.edu.cn/2026/0402/c36754a725336/page.htm</t>
  </si>
  <si>
    <t>17人复试、12人拟录取；最低392、中位403.5。</t>
  </si>
  <si>
    <t>湖南大学金融与统计学院2026复试细则</t>
  </si>
  <si>
    <t>复试线、复试形式、计划</t>
  </si>
  <si>
    <t>025200非全日制340分、计划22，仅综合面试。</t>
  </si>
  <si>
    <t>合肥工业大学2026复试线</t>
  </si>
  <si>
    <t>复试线、学习方式</t>
  </si>
  <si>
    <t>025200非全日制332分；数学学院计划差额比例120%。</t>
  </si>
  <si>
    <t>合肥工业大学2026招生简章</t>
  </si>
  <si>
    <t>https://yjszs.hfut.edu.cn/2025/0928/c13526a315413/pagem.htm</t>
  </si>
  <si>
    <t>非全日制应用统计5.1万元/全程。</t>
  </si>
  <si>
    <t>复旦大学2027年432考试大纲</t>
  </si>
  <si>
    <t>最新范围、题型、指定教材</t>
  </si>
  <si>
    <t>https://scms.fudan.edu.cn/info/1047/12891.htm</t>
  </si>
  <si>
    <t>单选50、简答40、计算与分析60；指定2025/2026新版教材。</t>
  </si>
  <si>
    <t>复旦大学2026专业—院系对照表与学校线</t>
  </si>
  <si>
    <t>培养单位、2026复试线</t>
  </si>
  <si>
    <t>https://gsao.fudan.edu.cn/72/7e/c15015a750206/page.htm ; https://gsao.fudan.edu.cn/_upload/article/files/18/fc/7a23e1c8471c8cf6eab8c0459cb0/d2f601bf-0bfd-4275-ab86-535e691b9f49.pdf</t>
  </si>
  <si>
    <t>官方确认0252四个培养单位；学校基本线380。</t>
  </si>
  <si>
    <t>复旦数学科学学院2026复试</t>
  </si>
  <si>
    <t>复试形式、复试人数</t>
  </si>
  <si>
    <t>https://math.fudan.edu.cn/ca/b0/c33035a772784/page.htm ; https://math.fudan.edu.cn/ca/cc/c30374a772812/page.htm</t>
  </si>
  <si>
    <t>025200计划22；名单22人，普通考生现场面试。</t>
  </si>
  <si>
    <t>复旦上海数学中心2026复试</t>
  </si>
  <si>
    <t>https://scms.fudan.edu.cn/info/1047/12011.htm ; https://scms.fudan.edu.cn/info/1047/12031.htm</t>
  </si>
  <si>
    <t>025200计划8；名单8人，普通考生现场面试。</t>
  </si>
  <si>
    <t>复旦大数据学院2026复试</t>
  </si>
  <si>
    <t>https://sds.fudan.edu.cn/_t2392/ca/b3/c17433a772787/page.htm ; https://sds.fudan.edu.cn/ca/bd/c17701a772797/page.htm</t>
  </si>
  <si>
    <t>官方名单同时含071400与025200；按最终名单考号分组闭合，025200为92人。</t>
  </si>
  <si>
    <t>复旦上海数学与交叉学科研究院2026复试</t>
  </si>
  <si>
    <t>官方培养单位</t>
  </si>
  <si>
    <t>https://www.simis.cn/2026%E5%B9%B4%E7%A1%95%E5%A3%AB%E7%A0%94%E7%A9%B6%E7%94%9F%E5%A4%8D%E8%AF%95%E7%BB%86%E5%88%99/ ; https://www.simis.cn/2026%E5%B9%B4%E7%A1%95%E5%A3%AB%E7%A0%94%E7%A9%B6%E5%A4%8D%E8%AF%95%E5%90%8D%E5%8D%95/</t>
  </si>
  <si>
    <t>025200计划30；36人复试，现场面试。</t>
  </si>
  <si>
    <t>复旦大学2026拟录取总名单</t>
  </si>
  <si>
    <t>拟录取人数、初试最低/中位/最高、实际复录比</t>
  </si>
  <si>
    <t>https://gsao.fudan.edu.cn/e6/ec/c15906a780012/page.htm</t>
  </si>
  <si>
    <t>与四单位复试名单按考号闭合：025200共148人，初试最低380、中位412、最高451。</t>
  </si>
  <si>
    <t>字段口径、计算公式与限制</t>
  </si>
  <si>
    <t>主题</t>
  </si>
  <si>
    <t>规则</t>
  </si>
  <si>
    <t>教育部传统211名单与研招网2026目录中025200开设单位取交集，共81行。中国地质/石油大学按独立研招单位列；华北电力北京/保定合并为学校一行。</t>
  </si>
  <si>
    <t>432相册范围</t>
  </si>
  <si>
    <t>只读取标题含“432定向班”的55篇；南昌大学重复1篇，故54个唯一项目；再剔除非985/211的深圳大学并合并华北电力两个项目后，覆盖主表52所学校。</t>
  </si>
  <si>
    <t>复试线选择</t>
  </si>
  <si>
    <t>同校同年多学院/方向时，文本保留各线；用于均值/标准差的数值取普通全日制方向最高线（保守口径）。专项计划不纳入。</t>
  </si>
  <si>
    <t>均值/标准差</t>
  </si>
  <si>
    <t>Excel公式只对有数值的年份计算；2023仅国家线底线且未核院线的学校留空，不纳入。标准差使用兼容旧版Excel的STDEV样本标准差公式（与STDEV.S口径一致），有效年份少于2时留空。</t>
  </si>
  <si>
    <t>双非背景</t>
  </si>
  <si>
    <t>本科院校必须由官方名单或可核证字段直接披露；绝不按姓名、考号或传言推断。当前可核名单普遍未披露，因此标记不可计算。</t>
  </si>
  <si>
    <t>分数溢出率</t>
  </si>
  <si>
    <t>定义为 双非初试中位数 / 985&amp;211本科生初试中位数 - 1。仅当两组本科背景和初试分数均可核时计算；当前无可靠样本。</t>
  </si>
  <si>
    <t>普通统考进入复试人数 / 普通统考最终拟录取人数；计划比例、机构披露与闭合名单分别标注，不混为同一证据等级。</t>
  </si>
  <si>
    <t>教材</t>
  </si>
  <si>
    <t>官方指定教材和机构课程覆盖分列。卡方海报书单只能说明培训覆盖，不能反向冒充学校官方指定教材。</t>
  </si>
  <si>
    <t>题型偏向</t>
  </si>
  <si>
    <t>题型结论只来自可直接阅读的历年真题原卷、明确标注的回忆版/解析或最新官方考试大纲。机构海报的课程模块不再用于判断真题偏向；不完整预览不得外推整卷。</t>
  </si>
  <si>
    <t>HR认可度</t>
  </si>
  <si>
    <t>主观0-100情景分：学校全国品牌、统计/财经/数理学科、目标行业标签、招聘城市触达。量化与互联网数据两列在综合分基础上作小幅行业修正；不是官方排名。</t>
  </si>
  <si>
    <t>通勤时间</t>
  </si>
  <si>
    <t>到表中定义的城市中心地标，按公开校址和常规公共交通路网给出非实时宽区间；不是地图实时路线，跨校区项目分别复核。</t>
  </si>
  <si>
    <t>优先最新官方；缺少新官方时保留2023机构基线并显著标注年份，不将旧值表述为当前确定值。</t>
  </si>
  <si>
    <t>证据优先级</t>
  </si>
  <si>
    <t>官方最新 &gt; 机构最新 &gt; 官方旧 &gt; 机构旧；冲突时保留高优先级值，并在来源明细中保留低优先级线索供审计。</t>
  </si>
  <si>
    <t>A=学校官网原卷/最新官方大纲；A-=学校官网文件但下载受限、全文结构可由官网索引核验；B=官方旧大纲；C=非官方回忆版/解析/片段。年份索引只是发现线索，不计入完整原卷份数。</t>
  </si>
  <si>
    <t>真题偏向口径</t>
  </si>
  <si>
    <t>只按已核卷面分值与题目类型描述，并注明代表年份；一份旧卷不能直接外推2026。最新官方大纲与旧真题冲突时，以最新官方大纲为准。</t>
  </si>
  <si>
    <t>字段缺口审计</t>
  </si>
  <si>
    <t>每校逐项列出复试线缺失年份、仅非官方年份、拟录取统计缺失年份、复录比、本科背景、官方教材、真题与学费状态。空白表示没有足够公开证据，不等于0。</t>
  </si>
  <si>
    <t>本科背景补数限制</t>
  </si>
  <si>
    <t>官方拟录取名单通常不披露本科院校。就业去向、社交平台自述、姓名匹配等均不能构成逐人本科背景证据，因此双非占比/分数/溢出率继续留空。</t>
  </si>
  <si>
    <t>432历年真题与官方大纲 · 逐份证据</t>
  </si>
  <si>
    <t>证据类型</t>
  </si>
  <si>
    <t>证据等级</t>
  </si>
  <si>
    <t>完整性</t>
  </si>
  <si>
    <t>题型/分值结构</t>
  </si>
  <si>
    <t>偏向</t>
  </si>
  <si>
    <t>可否下结论</t>
  </si>
  <si>
    <t>文件URL</t>
  </si>
  <si>
    <t>官方页URL</t>
  </si>
  <si>
    <t>本地/网页核验</t>
  </si>
  <si>
    <t>限制与备注</t>
  </si>
  <si>
    <t>历年真题原卷</t>
  </si>
  <si>
    <t>A 官方原卷</t>
  </si>
  <si>
    <t>完整，5页，已逐页核验</t>
  </si>
  <si>
    <t>填空10×2=20；单选10×2=20；多选5×3=15；简答2×5=10；计算/分析7题=85；总分150</t>
  </si>
  <si>
    <t>偏应用/计算</t>
  </si>
  <si>
    <t>是（仅代表2018卷）</t>
  </si>
  <si>
    <t>https://yz.ouc.edu.cn/_upload/article/files/dd/66/57221e5c4f33982df6fa12ec72cb/b720eb87-2b93-4683-9df8-cd219bcd37c7.pdf</t>
  </si>
  <si>
    <t>https://yz.ouc.edu.cn/2018/0910/c5924a210219/page.psp?anyid=0f84845225344eae836518a9758860da166887</t>
  </si>
  <si>
    <t>学校研招网往年试题；按原卷题目与分值统计。</t>
  </si>
  <si>
    <t>完整，已逐页核验</t>
  </si>
  <si>
    <t>填空7题=14；单选9题=18；多选5题=20；简答3题=18；计算/分析7题=80；总分150</t>
  </si>
  <si>
    <t>是（仅代表2019卷）</t>
  </si>
  <si>
    <t>https://yz.ouc.edu.cn/_upload/article/files/97/b3/25a1d5d543b99f2a7cb788caaca7/6cccf400-130d-49db-8896-87935e32cf44.pdf</t>
  </si>
  <si>
    <t>https://yz.ouc.edu.cn/2019/0827/c5924a257298/page.htm</t>
  </si>
  <si>
    <t>完整，4页，已逐页核验</t>
  </si>
  <si>
    <t>判断10；填空10；单选30；多选18；简答12；解答70；总分150</t>
  </si>
  <si>
    <t>是（仅代表2021卷）</t>
  </si>
  <si>
    <t>https://yz.ouc.edu.cn/_upload/article/files/f0/ad/2ce4de8a4d789f975ea9afef7fd5/5a6eefcf-d83b-43c9-a840-39a60e9acd1c.pdf</t>
  </si>
  <si>
    <t>https://yz.ouc.edu.cn/2021/0906/c5924a345876/page.htm</t>
  </si>
  <si>
    <t>单选30题=60；简答4题=40；计算/分析3题=50；总分150</t>
  </si>
  <si>
    <t>客观题+计算，兼有简答</t>
  </si>
  <si>
    <t>是（仅代表2015卷）</t>
  </si>
  <si>
    <t>https://qlyxjxgl.sdu.edu.cn/__local/E/05/30/0E16BAD44B54097AB0792E454BE_87EF2AAE_19881B.pdf?e=.pdf</t>
  </si>
  <si>
    <t>官方页面明确为原题；官方同时提示以后题型可能变化。</t>
  </si>
  <si>
    <t>A- 官方原卷</t>
  </si>
  <si>
    <t>完整结构由官网PDF搜索索引核到；直链下载受限</t>
  </si>
  <si>
    <t>统计学原理75：简答3题=30、计算3题=45；概率论与数理统计75：4题=15+20+20+20；总分150</t>
  </si>
  <si>
    <t>明显偏计算/推导</t>
  </si>
  <si>
    <t>是（仅代表2024卷）</t>
  </si>
  <si>
    <t>https://yz.jnu.edu.cn/_upload/article/files/52/49/8fb64de94a8f888484a2c669ee57/c9ecbeb2-5845-4978-ade3-2b1ca1f2547e.pdf</t>
  </si>
  <si>
    <t>https://yz.jnu.edu.cn/</t>
  </si>
  <si>
    <t>官网索引全文可读；文件未落地</t>
  </si>
  <si>
    <t>不把2024结构外推为永恒不变。</t>
  </si>
  <si>
    <t>部分可核；官网索引只稳定呈现第一部分</t>
  </si>
  <si>
    <t>已核第一部分：统计学原理75，简答3题=30、计算3题=45；第二部分未完整读取</t>
  </si>
  <si>
    <t>部分证据显示偏计算；不下整卷结论</t>
  </si>
  <si>
    <t>否（仅部分）</t>
  </si>
  <si>
    <t>https://yz.jnu.edu.cn/_upload/article/files/df/c8/ce6e82794d15812f482df8904eb3/fd22ecef-eddc-4cb4-b3ad-fbabaca8dd51.pdf</t>
  </si>
  <si>
    <t>部分</t>
  </si>
  <si>
    <t>未读取完整第二部分，完整份数不计入。</t>
  </si>
  <si>
    <t>回忆版/解析</t>
  </si>
  <si>
    <t>C 非官方公开重构</t>
  </si>
  <si>
    <t>作者称完整，官方完整性未确认</t>
  </si>
  <si>
    <t>公开解析呈现11道理论、计算与推导题；总分150</t>
  </si>
  <si>
    <t>偏理论、计算与推导</t>
  </si>
  <si>
    <t>低置信度（仅代表该回忆版）</t>
  </si>
  <si>
    <t>https://www.cnblogs.com/yecheng97/p/15823058.html</t>
  </si>
  <si>
    <t>是（网页）</t>
  </si>
  <si>
    <t>非官方；只作真题线索与交叉验证，不等同官方原卷。</t>
  </si>
  <si>
    <t>官方考试大纲/题型结构（非真题）</t>
  </si>
  <si>
    <t>A 官方最新</t>
  </si>
  <si>
    <t>完整大纲；不是历年原卷</t>
  </si>
  <si>
    <t>单选25题×2=50；简答4题×10=40；计算与分析3题×20=60；总分150；闭卷且禁用计算器</t>
  </si>
  <si>
    <t>偏应用/计算，兼顾理论</t>
  </si>
  <si>
    <t>是（仅可判断2027题型结构）</t>
  </si>
  <si>
    <t>https://scms.fudan.edu.cn/__local/C/F3/9D/3F24A37E0281478E0D3C56A251D_C213461E_194CF.pdf</t>
  </si>
  <si>
    <t>最新官方大纲优先于2022非官方回忆版；大纲不计入完整真题份数。</t>
  </si>
  <si>
    <t>回忆版</t>
  </si>
  <si>
    <t>C 非官方回忆版</t>
  </si>
  <si>
    <t>结构完整性未获官方确认</t>
  </si>
  <si>
    <t>单选60；简答40；计算/分析50；总分150</t>
  </si>
  <si>
    <t>混合型，计算权重较高</t>
  </si>
  <si>
    <t>低置信度（仅代表2013回忆版）</t>
  </si>
  <si>
    <t>https://download.kaoyan.com/download-1065750p1</t>
  </si>
  <si>
    <t>非官方回忆版；不可代替近年原卷。</t>
  </si>
  <si>
    <t>真题片段</t>
  </si>
  <si>
    <t>C 非官方片段</t>
  </si>
  <si>
    <t>部分；仅核到4/30选择题片段</t>
  </si>
  <si>
    <t>仅可确认页面展示选择题片段，无法还原全卷分值结构</t>
  </si>
  <si>
    <t>不足以判断</t>
  </si>
  <si>
    <t>https://www.kyzs.com/article/16823.html</t>
  </si>
  <si>
    <t>机构文章只能用于交叉验证，不能据片段判断全卷。</t>
  </si>
  <si>
    <t>C 文档平台片段</t>
  </si>
  <si>
    <t>部分；仅第一页可见</t>
  </si>
  <si>
    <t>已见填空10题=30、名词解释11题=22；后续页不可见</t>
  </si>
  <si>
    <t>是（第一页）</t>
  </si>
  <si>
    <t>不把预览页当完整试卷。</t>
  </si>
  <si>
    <t>官方考试大纲</t>
  </si>
  <si>
    <t>完整大纲</t>
  </si>
  <si>
    <t>闭卷、不得使用计算器；题型为填空、选择、解答；范围含概率论、数理统计、回归分析</t>
  </si>
  <si>
    <t>官方未公布各题型分值，暂不作偏文/偏理强结论</t>
  </si>
  <si>
    <t>可确认题型，不可确认占比</t>
  </si>
  <si>
    <t>https://yz.ustc.edu.cn/</t>
  </si>
  <si>
    <t>指定缪柏其、张伟平《概率论与数理统计》第3版（2024）。</t>
  </si>
  <si>
    <t>闭卷150分；统计学原理75+概率论与数理统计75；简答60、计算90</t>
  </si>
  <si>
    <t>是（官方2026结构）</t>
  </si>
  <si>
    <t>https://yz.jnu.edu.cn/_upload/article/files/fb/a4/13bd6d5f44d78e46823c9a4623b2/e9963411-da4f-49c7-a471-5f0066883506.pdf</t>
  </si>
  <si>
    <t>最新官方大纲优先于旧真题和机构课程结构。</t>
  </si>
  <si>
    <t>官方明确试题以计算题和证明题为主</t>
  </si>
  <si>
    <t>偏理：计算与证明</t>
  </si>
  <si>
    <t>是（官方题型描述）</t>
  </si>
  <si>
    <t>https://yjs.hebut.edu.cn/</t>
  </si>
  <si>
    <t>教材以该2026官方大纲为准。</t>
  </si>
  <si>
    <t>官方考试大纲（旧）</t>
  </si>
  <si>
    <t>B 官方旧</t>
  </si>
  <si>
    <t>完整旧版大纲</t>
  </si>
  <si>
    <t>旧版官方参考书为贾俊平等《统计学》第7版；2026交互目录需再核</t>
  </si>
  <si>
    <t>未披露题型比例</t>
  </si>
  <si>
    <t>只能确认旧版书目</t>
  </si>
  <si>
    <t>https://yjszs.hfut.edu.cn/2025/0928/c13534a315405/pagem.htm</t>
  </si>
  <si>
    <t>不可标成2026最新指定教材。</t>
  </si>
  <si>
    <t>432历年真题年份索引 · 81校覆盖</t>
  </si>
  <si>
    <t>索引年份</t>
  </si>
  <si>
    <t>是否命中</t>
  </si>
  <si>
    <t>证据层级</t>
  </si>
  <si>
    <t>来源URL</t>
  </si>
  <si>
    <t>限制说明</t>
  </si>
  <si>
    <t>机构索引（仅检索线索）</t>
  </si>
  <si>
    <t>页面列出可提供的真题年份，但未逐份展示原卷；不能据此判断题型或完整性。</t>
  </si>
  <si>
    <t>该公开索引未检出学校条目；不等于不存在历年真题。</t>
  </si>
  <si>
    <t>81校字段缺口审计 · 后续官方补数队列</t>
  </si>
  <si>
    <t>复试线数值缺失年份</t>
  </si>
  <si>
    <t>复试线弱证据年份</t>
  </si>
  <si>
    <t>拟录取统计缺失年份</t>
  </si>
  <si>
    <t>本科背景</t>
  </si>
  <si>
    <t>官方教材</t>
  </si>
  <si>
    <t>真题证据</t>
  </si>
  <si>
    <t>下一官方检索渠道</t>
  </si>
  <si>
    <t>审计备注</t>
  </si>
  <si>
    <t>无数值缺口</t>
  </si>
  <si>
    <t>2022、2024、2025</t>
  </si>
  <si>
    <t>官方未披露本科院校；不可计算</t>
  </si>
  <si>
    <t>研究生院/学院历年复试细则与分数线附件；2026招生目录/自命题大纲附件；学校往年试题库/学院试题附件/可核回忆卷</t>
  </si>
  <si>
    <t>最新官方已核</t>
  </si>
  <si>
    <t>高</t>
  </si>
  <si>
    <t>研究生院/学院历年复试细则与分数线附件；学院拟录取公示附件、研究生院录取公示</t>
  </si>
  <si>
    <t>2022、2023、2024、2025、2026</t>
  </si>
  <si>
    <t>研究生院/学院历年复试细则与分数线附件；学院拟录取公示附件、研究生院录取公示；同年复试名单+最终拟录取名单闭合；2026招生目录/自命题大纲附件</t>
  </si>
  <si>
    <t>研究生院/学院历年复试细则与分数线附件；学院拟录取公示附件、研究生院录取公示；2026招生目录/自命题大纲附件；学校往年试题库/学院试题附件/可核回忆卷</t>
  </si>
  <si>
    <t>研究生院/学院历年复试细则与分数线附件；学院拟录取公示附件、研究生院录取公示；学校往年试题库/学院试题附件/可核回忆卷</t>
  </si>
  <si>
    <t>2022、2024、2026</t>
  </si>
  <si>
    <t>2022、2024、2025、2026</t>
  </si>
  <si>
    <t>研究生院/学院历年复试细则与分数线附件；学院拟录取公示附件、研究生院录取公示；同年复试名单+最终拟录取名单闭合；2026招生目录/自命题大纲附件；学校往年试题库/学院试题附件/可核回忆卷</t>
  </si>
  <si>
    <t>2022</t>
  </si>
  <si>
    <t>2024、2025、2026</t>
  </si>
  <si>
    <t>2024</t>
  </si>
  <si>
    <t>2022、2025、2026</t>
  </si>
  <si>
    <t>2022、2023</t>
  </si>
  <si>
    <t>2022、2024</t>
  </si>
  <si>
    <t>2022、2023、2024</t>
  </si>
  <si>
    <t>2025、2026</t>
  </si>
  <si>
    <t>研究生院/学院历年复试细则与分数线附件；学院拟录取公示附件、研究生院录取公示；同年复试名单+最终拟录取名单闭合</t>
  </si>
  <si>
    <t>无/已标注</t>
  </si>
  <si>
    <t>2024、2026</t>
  </si>
  <si>
    <t>研究生院/学院历年复试细则与分数线附件；学院拟录取公示附件、研究生院录取公示；同年复试名单+最终拟录取名单闭合；学校往年试题库/学院试题附件/可核回忆卷</t>
  </si>
  <si>
    <t>2024、2025</t>
  </si>
  <si>
    <t>海报OCR：简答=未检出；理论=有；应用/计算=有。仅反映机构课程结构，不等同真题题型占比。；小程序当前初试科目：政治、英语二、数三、432统计学</t>
    <phoneticPr fontId="9" type="noConversion"/>
  </si>
  <si>
    <t>2026-08-14</t>
    <phoneticPr fontId="9" type="noConversion"/>
  </si>
  <si>
    <t>海报OCR：简答=有；理论=有；应用/计算=有。仅反映机构课程结构，不等同真题题型占比。；小程序当前初试科目：统计学院：政治、英语一、数三、432统计学；统计与大数据研究院：政治、英语一、数三、432统计学</t>
    <phoneticPr fontId="9" type="noConversion"/>
  </si>
  <si>
    <t>海报OCR：简答=有；理论=有；应用/计算=有。仅反映机构课程结构，不等同真题题型占比。；小程序当前初试科目：政治、英语二、数三、432统计学</t>
    <phoneticPr fontId="9" type="noConversion"/>
  </si>
  <si>
    <t>专业课笔试（概率论与数理统计）、英语听力口语测试及综合面试；官方未指定（小程序院校模块；待官网复核）</t>
    <phoneticPr fontId="9" type="noConversion"/>
  </si>
  <si>
    <t>就现在考研小程序院校模块，2026-08-14读取；待官网复核</t>
    <phoneticPr fontId="9" type="noConversion"/>
  </si>
  <si>
    <t>海报OCR：简答=未检出；理论=有；应用/计算=有。仅反映机构课程结构，不等同真题题型占比。；小程序当前初试科目：大数据学院：政治、英语二、数三、432统计学；数学科学学院：政治、英语二、数三、432统计学；上海数学中心：政治、英语二、数三、432统计学；上海数学与交叉学科研究院：政治、英语二、数三、432统计学</t>
    <phoneticPr fontId="9" type="noConversion"/>
  </si>
  <si>
    <t>海报OCR：简答=有；理论=有；应用/计算=有。仅反映机构课程结构，不等同真题题型占比。；小程序当前初试科目：数学学院（苏州基地）：政治、英语一、数三、432统计学；数学学院：政治、英语一、数三、432统计学</t>
    <phoneticPr fontId="9" type="noConversion"/>
  </si>
  <si>
    <t>数学学院（苏州基地）：1、专业综合考核（200分）2、综合面试（150分）；《概率论与数理统计教程》(第3版)，茆诗松、程依明、濮晓龙，高等教育出版社，2019；数学学院：1、专业综合考核（200分）2、综合面试（150分）；《概率论与数理统计教程》(第3版)，茆诗松、程依明、濮晓龙，高等教育出版社，2019（小程序院校模块；待官网复核）</t>
    <phoneticPr fontId="9" type="noConversion"/>
  </si>
  <si>
    <t>专业笔试、综合面试（含专业实践考核、外国语听说能力测试）；官方未指定（小程序院校模块；待官网复核）</t>
    <phoneticPr fontId="9" type="noConversion"/>
  </si>
  <si>
    <t>该校不在本批432定向班覆盖中；小程序当前初试科目：政治、英语一、数三、432统计学</t>
    <phoneticPr fontId="9" type="noConversion"/>
  </si>
  <si>
    <t>多元统计分析（经验，非官方）；官方未指定（小程序院校模块；待官网复核）</t>
    <phoneticPr fontId="9" type="noConversion"/>
  </si>
  <si>
    <t>专业课笔试：应用回归分析、抽样技术、概率论与数理统计; 综合素质及能力测试、思政及外语能力测试；官方未指定（小程序院校模块；待官网复核）；卡方2026录取文章正文补充：专业课笔试2小时、100分；外语听说不少于10分钟、100分；综合面试不少于10分钟、100分；总成绩=初试总分+复试总分。</t>
    <phoneticPr fontId="9" type="noConversion"/>
  </si>
  <si>
    <t>卡方2026录取文章正文与统计战线小程序交叉验证，2026-08-14读取；待学校官网复核</t>
    <phoneticPr fontId="9" type="noConversion"/>
  </si>
  <si>
    <t>海报OCR：简答=未检出；理论=有；应用/计算=有。仅反映机构课程结构，不等同真题题型占比。；小程序当前初试科目：数学学院（珠海）：政治、英语二、数三、432统计学；数学学院：政治、英语二、数三、432统计学</t>
    <phoneticPr fontId="9" type="noConversion"/>
  </si>
  <si>
    <t>数学学院（珠海）：综合评价、外语应用能力测试、专业能力及综合素质考核; 复试专业课：面试（应用统计）；经验，非官方：;[1]《统计计算》，高慧璇，北京大学出版社，前六章；数学学院：综合评价、外语应用能力测试、专业能力及综合素质考核 ;复试专业课：线性回归；官方未指定（小程序院校模块；待官网复核）</t>
    <phoneticPr fontId="9" type="noConversion"/>
  </si>
  <si>
    <t>未覆盖；就现在考研小程序院校模块（2026-08-14读取）：[1]《概率论与数理统计》（第1版），吴翊、汪文浩、杨文强 主编，高等教育出版社，2016年; [2]《概率论和随机过程》（上册）第1版，林正炎、苏中根、张立新著，高等教育出版社，2025年; [3]《数理统计学》（第2版），茆诗松，吕晓玲著，中国人民大学出版社，2016年。</t>
    <phoneticPr fontId="9" type="noConversion"/>
  </si>
  <si>
    <t>该校不在本批432定向班覆盖中；小程序当前初试科目：政治、英语二、数三、432统计学</t>
    <phoneticPr fontId="9" type="noConversion"/>
  </si>
  <si>
    <t>专业课笔试：概率论（F0103）; 面试：政治思想考查+综合素质能力+外语听说能力；1.《概率论》杨振明等，科学出版社2018第二版;2.《概率论基础》李贤平，高等教育出版社，2010，第三版（小程序院校模块；待官网复核）</t>
    <phoneticPr fontId="9" type="noConversion"/>
  </si>
  <si>
    <t>海报OCR：简答=有；理论=有；应用/计算=有。仅反映机构课程结构，不等同真题题型占比。；小程序当前初试科目：统计学与数据科学系：政治、英语一、数三、432统计学；王亚南经济研究院：政治、英语一、数三、432统计学</t>
    <phoneticPr fontId="9" type="noConversion"/>
  </si>
  <si>
    <t>海报OCR：简答=有；理论=有；应用/计算=有。仅反映机构课程结构，不等同真题题型占比。；小程序当前初试科目：政治、英语一、数三、432统计学</t>
    <phoneticPr fontId="9" type="noConversion"/>
  </si>
  <si>
    <t>笔试：应用统计综合; 面试：专业素质能力+综合素质能力+外语听说能力；1.《多元统计分析》（第6版），何晓群、郭满才 著，中国人民大学出版社 2.《统计学习方法》（第2版），李航 著，清华大学出版社，2019年版（小程序院校模块；待官网复核）</t>
    <phoneticPr fontId="9" type="noConversion"/>
  </si>
  <si>
    <t>综合笔试+综合面试 综合笔试：（1）专业外语笔试（2）专业基础笔试（参考书目及题型详见复试大纲）  综合面试：（1）专业综合（2）外语口试；非官方，参考初试：[1] 《概率论与数理统计教程》（第4版） 茆诗松, 程依明, 濮晓龙, 倪葎，高等教育出版社, 2026; [2] 《统计学》（第9版），贾俊平, 何晓群，金勇进，中国人民大学出版社, 2025。（小程序院校模块；待官网复核）</t>
    <phoneticPr fontId="9" type="noConversion"/>
  </si>
  <si>
    <t>未覆盖；就现在考研小程序院校模块（2026-08-14读取）：[1]《统计学》，任英华、陈黎明、谭朵朵主编，高等教育出版社，2023年9月出版</t>
    <phoneticPr fontId="9" type="noConversion"/>
  </si>
  <si>
    <t>该校不在本批432定向班覆盖中；小程序当前初试科目：政治、英语二、396、432统计学</t>
    <phoneticPr fontId="9" type="noConversion"/>
  </si>
  <si>
    <t>海报OCR：简答=有；理论=有；应用/计算=有。仅反映机构课程结构，不等同真题题型占比。；小程序当前初试科目：经济与金融学院：政治、英语二、数三、432统计学；数学与统计学院：政治、英语二、数三、432统计学</t>
    <phoneticPr fontId="9" type="noConversion"/>
  </si>
  <si>
    <t>经济与金融学院：专业课笔试：国民经济统计学; 面试：英语听力口语、综合考核；官方未指定；数学与统计学院：专业课笔试：计算方法+数学分析; 面试：英语听力口语、综合考核；官方未指定（小程序院校模块；待官网复核）</t>
    <phoneticPr fontId="9" type="noConversion"/>
  </si>
  <si>
    <t>该校不在本批432定向班覆盖中；小程序当前初试科目：理学院：政治、英语二、数三、432统计学；理学院(秦皇岛)：政治、英语二、数三、432统计学；理学院（佛山）：政治、英语二、数三、432统计学</t>
    <phoneticPr fontId="9" type="noConversion"/>
  </si>
  <si>
    <t>理学院：统计方法；[1]《贝叶斯统计》（第二版），韦来生，张伟平著，高等教育出版社，2022年; [2]《数据分析方法》（第二版），梅长林、范金城，高等教育出版社，2018年。；理学院(秦皇岛)：统计方法；[1]《贝叶斯统计》（第二版），韦来生，张伟平著，高等教育出版社，2022年; [2]《数据分析方法》（第二版），梅长林、范金城，高等教育出版社，2018年。；理学院（佛山）：统计方法；[1]《贝叶斯统计》（第二版），韦来生，张伟平著，高等教育出版社，2022年; [2]《数据分析方法》（第二版），梅长林、范金城，高等教育出版社，2018年。（小程序院校模块；待官网复核）</t>
    <phoneticPr fontId="9" type="noConversion"/>
  </si>
  <si>
    <t>第一阶段：; 1.思想政治素质和品德考核 2.心理素质测试; 第二阶段：; 1.外语能力测试 2.综合素质和能力考核 3.专业素质和能力考核：概率论与数理统计；《概率论与数理统计教程》(第二版)，茆诗松、程依明、濮晓龙，高等教育出版社，2011（小程序院校模块；待官网复核）</t>
    <phoneticPr fontId="9" type="noConversion"/>
  </si>
  <si>
    <t>海报OCR：简答=未检出；理论=有；应用/计算=有。仅反映机构课程结构，不等同真题题型占比。；小程序当前初试科目：金融研究院：政治、英语二、396、432统计学；数学与统计学院：政治、英语二、396、432统计学；数据科学研究院：政治、英语二、396、432统计学；经济研究院：政治、英语二、396、432统计学</t>
    <phoneticPr fontId="9" type="noConversion"/>
  </si>
  <si>
    <t>金融研究院：笔试：概率论、数理统计; 面试：英语、数学分析、线性代数、概率论、数理统计；1、《概率论基础》（第三版），复旦大学李贤平编，高等教育出版社 2010 年版; 2、《数理统计》，胡发胜、宿洁编，山东大学出版社 2005 年版; 3、《概率论与数理统计》（第二版），刘建亚、吴臻编，高等教育出版社 2011；数学与统计学院：笔试：统计学、回归分析和多元统计; 面试：主要对考生的专业基础知识（统计学，回归分析和多元统计）、英语口语、分析问题的能力和反应灵敏性等进行综合考查；1、《例解回归分析》（原书第五版），郑忠国等译，机械工业出版社; 2、《多元统计分析：应用多元统计分析》，高惠璇著，北京大学出版社; 3、《数理统计讲义》，郑明等著，复旦大学出版社；数据科学研究院：笔试：概率论、数理统计;面试：英语、数学分析、线性代数、概率论、数理统计；[1]《概率论基础》（第三版），复旦大学李贤平编，高等教育出版社2010年版; [2]《数理统计》，胡发胜、宿洁编，山东大学出版社2005年版; [3]《概率论与数理统计》（第二版），刘建亚、吴臻编，高等教育出版社2011年版。；经济研究院：笔试：金融学; 面试：综合素质考查外语水平测试;口语和听力；《金融学》，王松奇主编，中国金融出版社，2002 年版（小程序院校模块；待官网复核）</t>
    <phoneticPr fontId="9" type="noConversion"/>
  </si>
  <si>
    <t>海报OCR：简答=有；理论=有；应用/计算=有。仅反映机构课程结构，不等同真题题型占比。；小程序当前初试科目：数学学院：政治、英语二、数三、432统计学；经济学院：政治、英语二、数三、432统计学</t>
    <phoneticPr fontId="9" type="noConversion"/>
  </si>
  <si>
    <t>数学学院：笔试：分析学（数学分析、实变函数、复分析、泛函分析）+统计学（数理统计）; 综合面试（含英语口试）；杰拉德•凯勒《统计学：在经济和管理中的应用》（第10版 套装上下册），中国人民大学出版社，2019年; 赵彦云，《宏观经济统计分析》（第2版），中国人民大学出版社，2014年；经济学院：笔试：统计学; 综合面试（含英语口试）；杰拉德•凯勒《统计学：在经济和管理中的应用》（第10版 套装上下册），中国人民大学出版社，2019年; 赵彦云，《宏观经济统计分析》（第2版），中国人民大学出版社，2014年（小程序院校模块；待官网复核）</t>
    <phoneticPr fontId="9" type="noConversion"/>
  </si>
  <si>
    <t>专业课笔试：西方经济学; 专业综合面试和听力与口语测试；《西方经济学》（第二版）（上、下册），《西方经济学》编写组编，高等教育出版社、人民出版社，马克思主义理论研究与建设工程重点教材， 2019年10月（小程序院校模块；待官网复核）</t>
    <phoneticPr fontId="9" type="noConversion"/>
  </si>
  <si>
    <t>专业笔试：统计学专业基础内容包括：概率论、数理统计、回归分析、时间序列分析、随机过程）; 综合面试; 外语面试；官方未指定（小程序院校模块；待官网复核）</t>
    <phoneticPr fontId="9" type="noConversion"/>
  </si>
  <si>
    <t>海报OCR：简答=未检出；理论=未检出；应用/计算=未检出。仅反映机构课程结构，不等同真题题型占比。；小程序当前初试科目：政治、英语一、数三、432统计学</t>
    <phoneticPr fontId="9" type="noConversion"/>
  </si>
  <si>
    <t>专业测试：概率论、数理统计、统计学习; 综合面试：综合素质和能力（含外语能力）; 应用统计专业包括: 概率论、数理统计、统计学习；官方未指定（小程序院校模块；待官网复核）</t>
    <phoneticPr fontId="9" type="noConversion"/>
  </si>
  <si>
    <t>笔试科目《应用统计综合》，主要内容为“概率论与数理统计”；官方未指定（小程序院校模块；待官网复核）</t>
    <phoneticPr fontId="9" type="noConversion"/>
  </si>
  <si>
    <t>笔试：综合考试：（概率论与数理统计，多元统计分析）各占 50%,外语翻译笔试; 面试：专业综合面试、外语口语及听力测试及思想政治素质和品德考核；【1】《概率论与数理统计教程》（第三版），茆诗松等编，高等教育出版社; 【2】《概率论与数理统计》（第四版），盛骤 等编，高等教育出版社; 【3】《多元统计分析》（第五版），何晓群，中国人民大学出版社（小程序院校模块；待官网复核）</t>
    <phoneticPr fontId="9" type="noConversion"/>
  </si>
  <si>
    <t>海报OCR：简答=有；理论=有；应用/计算=有。仅反映机构课程结构，不等同真题题型占比。；小程序当前初试科目：统计学院（03方向）：政治、英语二、数三、432统计学；统计学院（02方向）：政治、英语二、数三、432统计学；统计学院（01方向）：政治、英语二、数三、432统计学</t>
    <phoneticPr fontId="9" type="noConversion"/>
  </si>
  <si>
    <t>统计学院（03方向）：自述、英语能力、统计学专业知识和综合 素质及能力等；（经验，非官方）统计学基础（一）复试参考书目：;茆诗松《概率论与数理统计》;贾俊平《统计学》；统计学院（02方向）：自述、英语能力、统计学专业知识和综合 素质及能力等；（经验，非官方）统计学基础（一）复试参考书目：;茆诗松《概率论与数理统计》;贾俊平《统计学》；统计学院（01方向）：复试形式为面试，复试内容包括自述、英语能力、统计学专业知识和综合素质及能力等。；（经验，非官方）统计学基础（一）复试参考书目：;茆诗松《概率论与数理统计》;贾俊平《统计学》（小程序院校模块；待官网复核）</t>
    <phoneticPr fontId="9" type="noConversion"/>
  </si>
  <si>
    <t>海报OCR：简答=未检出；理论=有；应用/计算=有。仅反映机构课程结构，不等同真题题型占比。；小程序当前初试科目：政治、英语一、数三、432统计学</t>
    <phoneticPr fontId="9" type="noConversion"/>
  </si>
  <si>
    <t>981 数学综合；官方未指定（小程序院校模块；待官网复核）</t>
    <phoneticPr fontId="9" type="noConversion"/>
  </si>
  <si>
    <t>（1）专业基础笔试：应用统计专业综合; （2）英语测试; （3）综合能力考核；[1]统计学（第 8 版），贾俊平，何晓群，金勇进编著，中国人民大学出版社，2021年;
[2]应用多元统计分析(第 6 版)，王学民著，上海财经大学出版社，2021 年;
[3]计量经济学（第 5 版），孙敬水，马淑琴著，清华大学出版社，2022 年（小程序院校模块；待官网复核）</t>
    <phoneticPr fontId="9" type="noConversion"/>
  </si>
  <si>
    <t>专业知识笔试：线上现场抽题，拍照留档; 外语测试; 综合素质面试；官方未指定（小程序院校模块；待官网复核）</t>
    <phoneticPr fontId="9" type="noConversion"/>
  </si>
  <si>
    <t>海报OCR：简答=有；理论=有；应用/计算=有。仅反映机构课程结构，不等同真题题型占比。；小程序当前初试科目：数理学院：政治、英语二、数三、432统计学；数理系：政治、英语二、数三、432统计学</t>
    <phoneticPr fontId="9" type="noConversion"/>
  </si>
  <si>
    <t>数理学院：复试科目：概率论与数理统计; 面试：综合面试、外语听力及口语测试；官方未指定；数理系：（1）专业课笔试，满分120分：概率论与数理统计; （2）综合面试，满分100分; （3）外语听力及口语测试，满分30分；官方未指定（小程序院校模块；待官网复核）</t>
    <phoneticPr fontId="9" type="noConversion"/>
  </si>
  <si>
    <t>专业能力笔试：统计软件与数据分析; 专业潜质面试、外语听说测试；《统计学》 ，刘扬、毛炳寰 ，中国统计出版社 (2010 第一版)（小程序院校模块；待官网复核）</t>
    <phoneticPr fontId="9" type="noConversion"/>
  </si>
  <si>
    <t>专业课笔试：F077概率论与数理统计; 面试；《概率论与数理统计》（上下册），梁之舜等编，高等教育出版社; 《概率论与数理统计》，刘国祥著，甘肃教育出版社; 《概率论》，应坚刚等，复旦大学出版社; 《数理统计讲义》，郑明等，复旦大学出版社（小程序院校模块；待官网复核）</t>
    <phoneticPr fontId="9" type="noConversion"/>
  </si>
  <si>
    <t>①概率统计（50%）; ②多元统计分析（50%）；官方未指定（小程序院校模块；待官网复核）</t>
    <phoneticPr fontId="9" type="noConversion"/>
  </si>
  <si>
    <t>统计学综合；[1]《概率论与数理统计教程》(第3版)，茆诗松，程依明，濮晓龙，高等教育出版社，2019年; [2]《概率论与数理统计》（第5版），盛骤，谢式千，潘承毅编著，高等教育出版社，2019年。（小程序院校模块；待官网复核）</t>
    <phoneticPr fontId="9" type="noConversion"/>
  </si>
  <si>
    <t>包括专业素质和能力测试：应用回归分析、应用多元统计分析; 综合素质和能力测试; 外语听说能力测试；1、应用回归分析(第四版)，何晓群, 刘文卿，中国人民大学出版社, 2015; 2、应用多元统计分析，高惠璇，北京大学出版社, 2014（小程序院校模块；待官网复核）</t>
    <phoneticPr fontId="9" type="noConversion"/>
  </si>
  <si>
    <t>笔试：统计学及应用; 面试：专业能力和综合素质、外语听说能力；官方未指定（小程序院校模块；待官网复核）</t>
    <phoneticPr fontId="9" type="noConversion"/>
  </si>
  <si>
    <t>包括外国语听力及口语测试、专业课（高等数学三、统计学）和思想政治理论；官方未指定（小程序院校模块；待官网复核）</t>
    <phoneticPr fontId="9" type="noConversion"/>
  </si>
  <si>
    <t>笔试和综合面试; 笔试时长3小时，应用统计综合（笔试）; 综合面试由外语听说能力测试、综合素质考核、思想政治素质和品德考核等部分组成；[1]《统计学》，贾俊平，何晓群，金勇进编，中国人民大学出版社; [2]《概率论与数理统计》，魏宗舒编，高等教育出版社; [3]《应用回归分析》（第2版，R语言版），何晓群，刘赛可编，电子工业出版社; [4]《应用时间序列分析》，王燕编，中国人民大学出版社; [5]《应用多元统计分析》，王学民编，上海财经大学出版社。（小程序院校模块；待官网复核）</t>
    <phoneticPr fontId="9" type="noConversion"/>
  </si>
  <si>
    <t>1. 专业知识笔试：统计学综合（满分 100 分）  ; 2. 外语听力及口语测试（满分 100 分） ; 3. 综合面试（满分 150 分）；1.贾俊平等编著，《统计学》（第8版），中国人民大学出版社，2021年; 2.茆诗松等编著，《概率论与数理统计》（第3版），科学出版社，2013年; 3.数据分析相关理论知识。（小程序院校模块；待官网复核）</t>
    <phoneticPr fontId="9" type="noConversion"/>
  </si>
  <si>
    <t>思想品德考核、专业课笔试（统计学综合，包括：概率论占20%，医药数理统计占80%）、实验技能考核、综合测试（含专业英语测试及面试）；《医药数理统计方法》高祖新，人民卫生出版社，第五版; 《概率论与数理统计》高祖新，言方荣，南京大学出版社，第二版; 《概率论与数理统计》盛骤等，高等教育出版社，第四版（小程序院校模块；待官网复核）</t>
    <phoneticPr fontId="9" type="noConversion"/>
  </si>
  <si>
    <t>综合面试：思想政治素质、外语水平、专业综合能力（概率统计）; 专业基础知识考核：随机抽题作答；《概率论与数理统计教程》，魏宗舒，高等教育出版社，2008年第2版;《概率论》，杨振明，科学出版社，2004年第2版;《数理统计》，何书元，高等教育出版社，2012年第1版（小程序院校模块；待官网复核）</t>
    <phoneticPr fontId="9" type="noConversion"/>
  </si>
  <si>
    <t>海报OCR：简答=有；理论=有；应用/计算=有。仅反映机构课程结构，不等同真题题型占比。；小程序当前初试科目：经济学院：政治、英语二、数三、432统计学；理学院：政治、英语二、数三、432统计学</t>
    <phoneticPr fontId="9" type="noConversion"/>
  </si>
  <si>
    <t>经济学院：笔试：统计学综合; 面试：专业知识水平和能力考核、综合素质和能力考核、外语水平测试；官方未指定；理学院：笔试：统计学综合（内容包括：概率论与数理统计等）; 面试：专业知识水平和能力考核、综合素质和能力考核、外语水平测试；官方未指定（小程序院校模块；待官网复核）</t>
    <phoneticPr fontId="9" type="noConversion"/>
  </si>
  <si>
    <t>海报OCR：简答=有；理论=有；应用/计算=有。仅反映机构课程结构，不等同真题题型占比。；小程序当前初试科目：统计与数据科学学院- B组：政治、英语二、数三、432统计学；数学学院：政治、英语二、数三、432统计学；统计与数据科学学院- A组：政治、英语二、数三、432统计学</t>
    <phoneticPr fontId="9" type="noConversion"/>
  </si>
  <si>
    <t>海报OCR：简答=有；理论=有；应用/计算=有。仅反映机构课程结构，不等同真题题型占比。；小程序当前初试科目：政治、英语二、数三、432统计学、</t>
    <phoneticPr fontId="9" type="noConversion"/>
  </si>
  <si>
    <t>官方暂未公布；官方暂未公布（小程序院校模块；待官网复核）</t>
    <phoneticPr fontId="9" type="noConversion"/>
  </si>
  <si>
    <t>专业素质和潜力（基础理论和专业知识）、专业应用能力（本科毕业论文、综合素质）、综合素质和能力、英语能力；官方未指定（小程序院校模块；待官网复核）</t>
    <phoneticPr fontId="9" type="noConversion"/>
  </si>
  <si>
    <t>海报OCR：简答=有；理论=有；应用/计算=有。仅反映机构课程结构，不等同真题题型占比。；小程序当前初试科目：经济学院：政治、英语二、数三、432统计学；信息科学技术学院：政治、英语二、数三、432统计学</t>
    <phoneticPr fontId="9" type="noConversion"/>
  </si>
  <si>
    <t>经济学院：面试：面试包括外语能力，专业素质与创新能力，综合素质与科研潜质; 笔试：经济计量学、国民经济统计学；赵国庆《计量经济学》；信息科学技术学院：面试：面试包括外语能力20分，专业素质与创新能力60分，综合素质与科研潜质20分; 笔试：概率论与数理统计；盛骤《概率论与数理统计》;周纪芗《概率论与数理统计》（小程序院校模块；待官网复核）</t>
    <phoneticPr fontId="9" type="noConversion"/>
  </si>
  <si>
    <t>海报OCR：简答=有；理论=有；应用/计算=有。仅反映机构课程结构，不等同真题题型占比。；小程序当前初试科目：数学与统计学院：政治、英语二、数三、432统计学；数学与统计学院（襄阳示范区）：政治、英语二、数三、432统计学</t>
    <phoneticPr fontId="9" type="noConversion"/>
  </si>
  <si>
    <t>数学与统计学院：专业课笔试：应用时间序列分析、应用随机过程; 面试：考生自述、抽题作答、专家提问；《应用时间序列分析》，何书元编著，北京大学出版社; 《应用随机过程》（第 2 版），张波等编著，清华大学出版社；数学与统计学院（襄阳示范区）：专业课笔试：应用时间序列分析、应用随机过程; 面试：考生自述、抽题作答、专家提问；《应用时间序列分析》，何书元编著，北京大学出版社; 《应用随机过程》（第 2 版），张波等编著，清华大学出版社（小程序院校模块；待官网复核）</t>
    <phoneticPr fontId="9" type="noConversion"/>
  </si>
  <si>
    <t>面试内容包括专业综合测试（包含统计学专业知识、统计应用能力等)和英语水平测试，满分100分，其中专业综合测试70分，英语水平测试30分;每位考生面试时间至少为20分钟；《统计学专业基础》（经验，非官方）（小程序院校模块；待官网复核）</t>
    <phoneticPr fontId="9" type="noConversion"/>
  </si>
  <si>
    <t>该校不在本批432定向班覆盖中；小程序当前初试科目：数学与物理学院：政治、英语二、数三、432统计学；经济管理学院：政治、英语二、数三、432统计学</t>
    <phoneticPr fontId="9" type="noConversion"/>
  </si>
  <si>
    <t>数学与物理学院：专业课笔试：概率论与数理统计; 外语听说（含英语自我介绍）、专业能力及综合素质面试；参考大纲https://slxy.cug.edu.cn/zsjy1/yjszs.htm；经济管理学院：专业课笔试：BL4|计量经济学; 外语听说、专业能力及综合素质面试；[1]《计量经济学基础》（第五版），古扎拉蒂等，中国人民大学出版社; [2]《计量经济学》（第五版），庞皓，科学出版社; [3]《基于R的计量经济学应用》，李忠武等，中国统计出版社。（小程序院校模块；待官网复核）</t>
    <phoneticPr fontId="9" type="noConversion"/>
  </si>
  <si>
    <t>笔试：1095应用统计学; 面试：专业综合面试、外语听说能力测试；[1]《统计学》，贾俊平 编著，中国人民大学出版社，2021 年，第 8 版。; [2]《应用时间序列分析》，王燕等编，中国人民大学出版社，2022 年，第6 版。; [3]《应用多元统计分析》，王学民编著，上海财经大学出版社，2021 年，第6 版。; [4]《概率论与数理统计教程》，茆诗松等编，高等教育出版社，2019 年，第3 版。（小程序院校模块；待官网复核）；卡方2026录取文章正文补充：现场复试；笔试3小时、150分；面试不少于20分钟、70分（专业综合25、外语听说25、综合素质与创新20）；总成绩=初试70%+复试30%。</t>
    <phoneticPr fontId="9" type="noConversion"/>
  </si>
  <si>
    <t>专业课笔试：概率论与数理统计；1.《概率论与数理统计》（第4版） 盛骤等编，高等教育出版社。（小程序院校模块；待官网复核）</t>
    <phoneticPr fontId="9" type="noConversion"/>
  </si>
  <si>
    <t>概率论与数理统计；《概率论与数理统计教程》(第3版)，茆诗松，程依明，濮晓龙，高等教育出版社，2020.10。（小程序院校模块；待官网复核）</t>
    <phoneticPr fontId="9" type="noConversion"/>
  </si>
  <si>
    <t>该校不在本批432定向班覆盖中；小程序当前初试科目：数学与统计学院：政治、英语二、数三、432统计学；经济管理学院：政治、英语二、数三、432统计学</t>
    <phoneticPr fontId="9" type="noConversion"/>
  </si>
  <si>
    <t>经济管理学院：专业课笔试：03117经济统计分析; 综合面试：外语听力口语测试和综合能力面试以及PPT自我介绍；《商务与经济统计》（第13版），机械工业出版社，2017，戴维·安德森等，张建华等译。（小程序院校模块；待官网复核）</t>
    <phoneticPr fontId="9" type="noConversion"/>
  </si>
  <si>
    <t>机器学习综合，最优化方法; 备注：“机器学习综合”科目含理论知识和程序设计实现；[1]《统计学习方法》，李航著，清华大学出版社; [2]《最优化方法》（第2版），孙文瑜，徐成贤，朱德通编著，高等教育出版社（小程序院校模块；待官网复核）</t>
    <phoneticPr fontId="9" type="noConversion"/>
  </si>
  <si>
    <t>笔试（应用统计专硕（0252）：计量经济学、多元统计; 面试：英语自我介绍、随机抽取专业课问题并作答、其他专业知识提问；官方未指定（小程序院校模块；待官网复核）</t>
    <phoneticPr fontId="9" type="noConversion"/>
  </si>
  <si>
    <t>中英文自述、外语听说能力测试，专业能力考核，综合面试；陈家鼎、郑忠国《概率与统计》1-4章，6-9章，北京大学出版社（小程序院校模块；待官网复核）</t>
    <phoneticPr fontId="9" type="noConversion"/>
  </si>
  <si>
    <t>该校不在本批432定向班覆盖中；小程序当前初试科目：理学院：政治、英语二、数三、432统计学；克拉玛依校区：政治、英语二、数三、432统计学</t>
    <phoneticPr fontId="9" type="noConversion"/>
  </si>
  <si>
    <t>理学院：1、专业知识考核：高等数学、线性代数、概率论与数理统计; 2、专业能力考核; 3、外语听力、口语水平考核; 4、综合素质考核；官方未指定；克拉玛依校区：1、专业知识考核和专业能力考核; 2、外语听力、口语水平考核; 3、思想政治素质和道德品质考核；官方未指定（小程序院校模块；待官网复核）</t>
    <phoneticPr fontId="9" type="noConversion"/>
  </si>
  <si>
    <t>1.专业知识考核：9072 数值分析、随机过程-计算与应用; 2.综合能力考核（外语听说能力，创新能力和专业素养）; 3.思想政治素质和品德考核；冯象初《数值分析》;冯海林《随机过程—计算与应用》（小程序院校模块；待官网复核）</t>
    <phoneticPr fontId="9" type="noConversion"/>
  </si>
  <si>
    <t>笔试：计量经济学; 面试：专业综合面试、外语听说能力测试；《计量经济学》（第五版），赵国庆，中国人民大学出版社，2016-6-1;《机器学习方法》（第2版），李航，清华大学出版社，2025-7（小程序院校模块；待官网复核）</t>
    <phoneticPr fontId="9" type="noConversion"/>
  </si>
  <si>
    <t>海报OCR：简答=有；理论=有；应用/计算=有。仅反映机构课程结构，不等同真题题型占比。；小程序当前初试科目：数学科学学院：政治、英语二、数三、432统计学；心理学院：政治、英语二、数三、432统计学</t>
    <phoneticPr fontId="9" type="noConversion"/>
  </si>
  <si>
    <t>数学科学学院：专业课笔试：线性回归; 专业英语复试（笔试）; 综合素质及能力面试；官方未指定；心理学院：复试科目考核：抽题作答①02401|心理学原理与研究方法 或02404|心理统计与数据分析; 综合素质考核；官方未指定（小程序院校模块；待官网复核）</t>
    <phoneticPr fontId="9" type="noConversion"/>
  </si>
  <si>
    <t>海报OCR：简答=有；理论=有；应用/计算=有。仅反映机构课程结构，不等同真题题型占比。；小程序当前初试科目：前沿交叉科学研究院：政治、英语一、数三、432统计学；数学学院：政治、英语一、数三、432统计学</t>
    <phoneticPr fontId="9" type="noConversion"/>
  </si>
  <si>
    <t>前沿交叉科学研究院：专业课笔试：010004大学数学、概率论与数理统计（各占1/2）; 外国语听力及口语测试、综合面试（个人陈述、抽题作答、提问作答）；《微积分》（上册），朱永忠主编，河海大学出版社，2009 年; 《概率论与数理统计》（第四版），盛骤、谢式千、潘承毅主编，高等教育出版社，2010 年；数学学院：专业课笔试：010004大学数学、概率论与数理统计（各占1/2）; 外国语听力及口语测试、综合面试（个人陈述、抽题作答、提问作答）；《微积分》（上册），朱永忠主编，河海大学出版社，2009 年; 《概率论与数理统计》（第四版），盛骤、谢式千、潘承毅主编，高等教育出版社，2010 年（小程序院校模块；待官网复核）</t>
    <phoneticPr fontId="9" type="noConversion"/>
  </si>
  <si>
    <t>专业课笔试：统计综合（概率论与数理统计、 统计软件）; 面试：英语（含自我介绍）、综合能力面试；《概率论与数理统计（第五版）》主编：盛骤，谢式千，潘承毅，高等教育出版社，2020年;  《统计建模与R软件(第2版)》主编：薛毅，陈立萍，清华大学出版社，2021年;  《数理统计与MATLAB数据分析（第2版）》，主编：王岩，隋思涟，清华大学出版社，2014年; 《统计学——Python实现》主编：贾俊平，高等教育出版社，2021年（小程序院校模块；待官网复核）</t>
    <phoneticPr fontId="9" type="noConversion"/>
  </si>
  <si>
    <t>F1103应用统计基础；官方未指定（小程序院校模块；待官网复核）</t>
    <phoneticPr fontId="9" type="noConversion"/>
  </si>
  <si>
    <t>专业能力测试笔试：计量经济学; 面试：外语能力测试（含听力、口语等）、综合素质及能力测试等内容；[1]李子奈，潘文卿等.计量经济学（第5版）.高等教育出版社，2020.（小程序院校模块；待官网复核）</t>
    <phoneticPr fontId="9" type="noConversion"/>
  </si>
  <si>
    <t>该校不在本批432定向班覆盖中；小程序当前初试科目：数学与统计学院：政治、英语二、数三、432统计学；经济学院：政治、英语二、数三、432统计学</t>
    <phoneticPr fontId="9" type="noConversion"/>
  </si>
  <si>
    <t>数学与统计学院：（一）外国语口语和听力测试; （二）专业课及综合素质测试; （三）思想政治素质和品德考核；官方未指定；经济学院：（一）外国语口语和听力测试; （二）专业课及综合素质测试; （三）思想政治素质和品德考核；官方未指定（小程序院校模块；待官网复核）</t>
    <phoneticPr fontId="9" type="noConversion"/>
  </si>
  <si>
    <t>海报OCR：简答=未检出；理论=未检出；应用/计算=未检出。仅反映机构课程结构，不等同真题题型占比。；小程序当前初试科目：政治、英语二、数三、432统计学</t>
    <phoneticPr fontId="9" type="noConversion"/>
  </si>
  <si>
    <t>笔试：计量经济学; 面试：专业能力和综合素质、外语听说能力；庞皓《计量经济学》（小程序院校模块；待官网复核）</t>
    <phoneticPr fontId="9" type="noConversion"/>
  </si>
  <si>
    <t>1. 思想政治素质和品德;2. 专业素质和能力;3. 综合素质和能力; 应用统计专业硕士主要考核本科阶段统计学专业相关课程知识；官方未指定（小程序院校模块；待官网复核）；卡方2026录取文章正文补充：专业考核范围含概率论与数理统计、统计学概论、应用回归分析、应用多元统计分析、应用时间序列分析等；复试100分中外语听说20%、专业与综合80%；总成绩=(初试/5)×50%+复试×50%。正文未明确单列笔试，故笔试栏仍待核。</t>
    <phoneticPr fontId="9" type="noConversion"/>
  </si>
  <si>
    <t>专业笔试科目：概率论与数理统计; 面试：综合面试（不放回抽题作答）；官方未指定（小程序院校模块；待官网复核）</t>
    <phoneticPr fontId="9" type="noConversion"/>
  </si>
  <si>
    <t>笔试：概率论与数理统计; 面试：外语口语听力和专业能力考核等；官方未指定（小程序院校模块；待官网复核）</t>
    <phoneticPr fontId="9" type="noConversion"/>
  </si>
  <si>
    <t>思想政治素质和品德考核、专业知识水平和能力考核、综合素质和能力考核、外语水平测试；官方未指定（小程序院校模块；待官网复核）</t>
    <phoneticPr fontId="9" type="noConversion"/>
  </si>
  <si>
    <t>专业课笔试：《随机过程》（75分） 《数值分析》（75分） ; 专业综合面试; 外语听力及口语测试；1. 《应用随机过程》 张波 商豪 中国人民大学出版社; 2. 《概率论与数理统计教程》 茆诗 松、程依明、濮晓龙主编 高等教育 出版社 ; 3. 《数值分析》李庆扬编著 清华大学出版社（小程序院校模块；待官网复核）</t>
    <phoneticPr fontId="9" type="noConversion"/>
  </si>
  <si>
    <t>专业能力考核：概率论与数理统计; 综合素质考核；《概率论与数理统计教程》（第2版），茆诗松，程依明，濮晓龙，高等教育出版社，2011（小程序院校模块；待官网复核）</t>
    <phoneticPr fontId="9" type="noConversion"/>
  </si>
  <si>
    <t>概率论与数理统计；《概论统计引论》，魏立力、刘国军、张选德主编，科学出版社，2020年第2版。（小程序院校模块；待官网复核）</t>
    <phoneticPr fontId="9" type="noConversion"/>
  </si>
  <si>
    <t>初试范围总体不变，考试大纲中的考试内容有部分调整；复试范围不变。最终以2027招生简章和专业目录为准。</t>
    <phoneticPr fontId="9" type="noConversion"/>
  </si>
  <si>
    <t>茆诗松、程依明、濮晓龙、倪葎《概率论与数理统计教程》第4版，高等教育出版社，2026；贾俊平、何晓群、金勇进《统计学》第9版，中国人民大学出版社，2025</t>
    <phoneticPr fontId="9" type="noConversion"/>
  </si>
  <si>
    <t>2027官方学院预公告指定；最终以招生简章/目录为准</t>
    <phoneticPr fontId="9" type="noConversion"/>
  </si>
  <si>
    <t>2023、2024、2025、2026</t>
    <phoneticPr fontId="9" type="noConversion"/>
  </si>
  <si>
    <t>2024、2026</t>
    <phoneticPr fontId="9" type="noConversion"/>
  </si>
  <si>
    <t>2024、2025、2026</t>
    <phoneticPr fontId="9" type="noConversion"/>
  </si>
  <si>
    <t>2026</t>
    <phoneticPr fontId="9" type="noConversion"/>
  </si>
  <si>
    <t>2023、2024、2026</t>
    <phoneticPr fontId="9" type="noConversion"/>
  </si>
  <si>
    <t>2022、2023、2024、2025、2026</t>
    <phoneticPr fontId="9" type="noConversion"/>
  </si>
  <si>
    <t>2025、2026</t>
    <phoneticPr fontId="9" type="noConversion"/>
  </si>
  <si>
    <t>2024、2025</t>
    <phoneticPr fontId="9" type="noConversion"/>
  </si>
  <si>
    <t>无可闭合年份</t>
    <phoneticPr fontId="9" type="noConversion"/>
  </si>
  <si>
    <t>2024</t>
    <phoneticPr fontId="9" type="noConversion"/>
  </si>
  <si>
    <t>有</t>
    <phoneticPr fontId="9" type="noConversion"/>
  </si>
  <si>
    <t>就现在考研小程序院校模块（2026-08-14读取）：https://admin.jiuxianzai.cn/api/applet/home/index/schoolDetail/ee98dffe2eda32cac728d69d270870f9</t>
  </si>
  <si>
    <t>就现在考研小程序院校模块（2026-08-14读取）：https://admin.jiuxianzai.cn/api/applet/home/index/schoolDetail/ee98dffe2eda32cac728d69d270870f9；经人数与最低录取线校验的名单图：https://jiuxianzai.oss-cn-beijing.aliyuncs.com/kaoyan/2024/05/28/d44e30280b8a49ee98212d586aee1c65.png</t>
  </si>
  <si>
    <t>就现在考研小程序院校模块（2026-08-14读取）：https://admin.jiuxianzai.cn/api/applet/home/index/schoolDetail/ee98dffe2eda32cac728d69d270870f9；经人数与最低录取线校验的名单图：https://jiuxianzai.oss-cn-beijing.aliyuncs.com/kaoyan/2024/04/14/a47351585d3e40b590f082c5ebc74741.png</t>
  </si>
  <si>
    <t>就现在考研小程序院校模块（2026-08-14读取）：https://admin.jiuxianzai.cn/api/applet/home/index/schoolDetail/ee98dffe2eda32cac728d69d270870f9；经人数与最低录取线校验的名单图：https://jiuxianzai.oss-cn-beijing.aliyuncs.com/kaoyan/2025/04/20/52d4b020b43042609c22b16b78e1f57c.png</t>
  </si>
  <si>
    <t>https://math.nju.edu.cn/zs/sszs/20260402/i371514.html | 官方复试14人、拟录取11人；初试最低409、中位424；就现在考研小程序院校模块（2026-08-14读取）：https://admin.jiuxianzai.cn/api/applet/home/index/schoolDetail/ee98dffe2eda32cac728d69d270870f9；经人数与最低录取线校验的名单图：https://jiuxianzai.oss-cn-beijing.aliyuncs.com/kaoyan/2026/05/14/437591903b11459190d442b1403f841f.png；卡方2026录取名单专辑交叉验证：录取线409 | 2026年南京大学公布拟录取名单11人 https://mp.weixin.qq.com/s?__biz=MzIxNTM0MjQ3OA==&amp;mid=2247511448&amp;idx=1&amp;sn=6a2dd1a25c69126924b598a6556ebe48&amp;chksm=979b2179a0eca86f65f8d444d5764060314d92edb22536d616e58a116580a4ec194e7a220dd6#rd</t>
    <phoneticPr fontId="9" type="noConversion"/>
  </si>
  <si>
    <t>就现在考研小程序院校模块（2026-08-14读取）：https://admin.jiuxianzai.cn/api/applet/home/index/schoolDetail/f11a1afe431281838693214490993dcf</t>
  </si>
  <si>
    <t>就现在考研小程序院校模块（2026-08-14读取）：https://admin.jiuxianzai.cn/api/applet/home/index/schoolDetail/f11a1afe431281838693214490993dcf；经人数与最低录取线校验的名单图：https://jiuxianzai.oss-cn-beijing.aliyuncs.com/kaoyan/2024/05/08/21583573d37f4db1a876a8dd114f37b2.png</t>
  </si>
  <si>
    <t>就现在考研小程序院校模块（2026-08-14读取）：https://admin.jiuxianzai.cn/api/applet/home/index/schoolDetail/f11a1afe431281838693214490993dcf；经人数与最低录取线校验的名单图：https://jiuxianzai.oss-cn-beijing.aliyuncs.com/kaoyan/2026/05/14/1aca6d9e31e341368d6514815a476373.png；卡方2026录取名单专辑交叉验证：录取线392 | 2026年华东师范大学公布拟录取名单60人 https://mp.weixin.qq.com/s?__biz=MzIxNTM0MjQ3OA==&amp;mid=2247511431&amp;idx=2&amp;sn=9e84660a94b2d07b7fbb5bead21e6122&amp;chksm=979b2166a0eca870e9fec1a1493f98f4906d3b31fa8bedb37f93df4c49168f35fc4411314e84#rd；补录2人，录取线392 | 2026年华东师范大学公布拟录取名单62人 https://mp.weixin.qq.com/s?__biz=MzIxNTM0MjQ3OA==&amp;mid=2247511562&amp;idx=1&amp;sn=3146712c38b6277740855609e955016e&amp;chksm=979b22eba0ecabfd17df6e86f16c27ac9653ad85da2621d2e8c8161565f4ea0ae7a228d8c875#rd；官方首批名单+主流机构最新补录闭环：https://stat.ecnu.edu.cn/_upload/article/files/75/13/fccefefd4b98a332d1077b17f9c6/6edeeed4-7a55-4fd6-b207-aff078745e0e.pdf；仅统计表中明确标注“推荐拟录取”的应用统计全日制考生。；后续补录已由卡方最新专辑与小程序当前人数/名单双重闭环，最终分布按更新后名单。</t>
  </si>
  <si>
    <t>就现在考研小程序院校模块（2026-08-14读取）：https://admin.jiuxianzai.cn/api/applet/home/index/schoolDetail/61ab8bb59fd94ad71f849af6ceac6c8f；经人数与最低录取线校验的名单图：https://jiuxianzai.oss-cn-beijing.aliyuncs.com/kaoyan/2022/04/17/61806cf665264300922569a1fb6eaebd.png</t>
  </si>
  <si>
    <t>就现在考研小程序院校模块（2026-08-14读取）：https://admin.jiuxianzai.cn/api/applet/home/index/schoolDetail/61ab8bb59fd94ad71f849af6ceac6c8f</t>
  </si>
  <si>
    <t>就现在考研小程序院校模块（2026-08-14读取）：https://admin.jiuxianzai.cn/api/applet/home/index/schoolDetail/61ab8bb59fd94ad71f849af6ceac6c8f；经人数与最低录取线校验的名单图：https://jiuxianzai.oss-cn-beijing.aliyuncs.com/kaoyan/2024/04/03/3a99b128c2fe4ac398baccc7dd3043d0.png</t>
  </si>
  <si>
    <t>就现在考研小程序院校模块（2026-08-14读取）：https://admin.jiuxianzai.cn/api/applet/home/index/schoolDetail/61ab8bb59fd94ad71f849af6ceac6c8f；经人数与最低录取线校验的名单图：https://jiuxianzai.oss-cn-beijing.aliyuncs.com/kaoyan/2025/04/07/758038f531874eca90d483272707cb78.png</t>
  </si>
  <si>
    <t>就现在考研小程序院校模块（2026-08-14读取）：https://admin.jiuxianzai.cn/api/applet/home/index/schoolDetail/61ab8bb59fd94ad71f849af6ceac6c8f；经人数与最低录取线校验的名单图：https://jiuxianzai.oss-cn-beijing.aliyuncs.com/kaoyan/2026/05/06/d0538b2afbd7447ca69d5c87f49a8718.png；卡方2026录取名单专辑交叉验证：录取线390 | 2026年上海交通大学公布拟录取名单51+1人 https://mp.weixin.qq.com/s?__biz=MzIxNTM0MjQ3OA==&amp;mid=2247511431&amp;idx=1&amp;sn=5e773f674de557af6b7b8fd470961ad5&amp;chksm=979b2166a0eca8705f982282c0420bf0947de17bf65457e9bd100af6461ec580f4206f3e35a8#rd</t>
  </si>
  <si>
    <t>就现在考研小程序院校模块（2026-08-14读取）：https://admin.jiuxianzai.cn/api/applet/home/index/schoolDetail/6df6138cb0a86a95e60cd2c1e2b91e5e</t>
  </si>
  <si>
    <t>就现在考研小程序院校模块（2026-08-14读取）：https://admin.jiuxianzai.cn/api/applet/home/index/schoolDetail/6df6138cb0a86a95e60cd2c1e2b91e5e；经人数与最低录取线校验的名单图：https://jiuxianzai.oss-cn-beijing.aliyuncs.com/kaoyan/2023/05/18/9d1dbf70716a4687bd9301dc8d41c135.png</t>
  </si>
  <si>
    <t>就现在考研小程序院校模块（2026-08-14读取）：https://admin.jiuxianzai.cn/api/applet/home/index/schoolDetail/6df6138cb0a86a95e60cd2c1e2b91e5e；经人数与最低录取线校验的名单图：https://jiuxianzai.oss-cn-beijing.aliyuncs.com/kaoyan/2024/05/01/98f17db88f624a6cb598e27555721baf.png</t>
  </si>
  <si>
    <t>就现在考研小程序院校模块（2026-08-14读取）：https://admin.jiuxianzai.cn/api/applet/home/index/schoolDetail/6df6138cb0a86a95e60cd2c1e2b91e5e；经人数与最低录取线校验的名单图：https://jiuxianzai.oss-cn-beijing.aliyuncs.com/kaoyan/2025/04/04/3148b02d516d49259fb8c9762e14a9d3.png</t>
  </si>
  <si>
    <t>https://som.ustc.edu.cn/2026/0319/c36754a723567/page.htm ; https://som.ustc.edu.cn/2026/0402/c36754a725336/page.htm | 17人进入复试、12人拟录取；拟录取初试分数最小392、中位403.5、最大432。390为学院复试线，392是名单中实际最低分，二者不混用。；就现在考研小程序院校模块（2026-08-14读取）：https://admin.jiuxianzai.cn/api/applet/home/index/schoolDetail/6df6138cb0a86a95e60cd2c1e2b91e5e；经人数与最低录取线校验的名单图：https://jiuxianzai.oss-cn-beijing.aliyuncs.com/kaoyan/2026/05/14/a331294371e0400eb623577d8b708a57.png；卡方2026录取名单专辑交叉验证：录取线392  | 2026年中国科学技术大学公布拟录取名单12人 https://mp.weixin.qq.com/s?__biz=MzIxNTM0MjQ3OA==&amp;mid=2247511476&amp;idx=3&amp;sn=d81954b381ba48cbdf83728e6af36289&amp;chksm=979b2155a0eca8439f89635ac4f66f67ba918b5d937c2fdff22717d5c919af0a5a44eedd915c#rd</t>
    <phoneticPr fontId="9" type="noConversion"/>
  </si>
  <si>
    <t>就现在考研小程序院校模块（2026-08-14读取）：https://admin.jiuxianzai.cn/api/applet/home/index/schoolDetail/8c6b6c55149992b9a76b94d7ce738ca1; https://admin.jiuxianzai.cn/api/applet/home/index/schoolDetail/e514582d975cddc4bd28e18724093d46</t>
  </si>
  <si>
    <t>就现在考研小程序院校模块（2026-08-14读取）：https://admin.jiuxianzai.cn/api/applet/home/index/schoolDetail/8c6b6c55149992b9a76b94d7ce738ca1; https://admin.jiuxianzai.cn/api/applet/home/index/schoolDetail/e514582d975cddc4bd28e18724093d46；经人数与最低录取线校验的名单图：https://jiuxianzai.oss-cn-beijing.aliyuncs.com/kaoyan/2024/05/19/da9257afdffe4595981244682d25d7fb.png; https://jiuxianzai.oss-cn-beijing.aliyuncs.com/kaoyan/2024/05/19/5225fdd1ae9445ac9cf33cb068b8616f.png</t>
  </si>
  <si>
    <t>就现在考研小程序院校模块（2026-08-14读取）：https://admin.jiuxianzai.cn/api/applet/home/index/schoolDetail/8c6b6c55149992b9a76b94d7ce738ca1; https://admin.jiuxianzai.cn/api/applet/home/index/schoolDetail/e514582d975cddc4bd28e18724093d46；经人数与最低录取线校验的名单图：https://jiuxianzai.oss-cn-beijing.aliyuncs.com/kaoyan/2026/05/14/b26470a58b3b4d5385327ea94c17b097.png; https://jiuxianzai.oss-cn-beijing.aliyuncs.com/kaoyan/2026/05/14/55407a0a14d947c9913baf5ea3f75152.png；卡方2026录取名单专辑交叉验证：录取线396/385 | 2026年四川大学公布拟录取名单12+32人 https://mp.weixin.qq.com/s?__biz=MzIxNTM0MjQ3OA==&amp;mid=2247511761&amp;idx=3&amp;sn=6d625638212f5774bb6a26d4343108c6&amp;chksm=979b2230a0ecab267ed3694b23463b13a5ec5b6df36a15db0ef0b7f66faa47ad5f777c802f5b#rd</t>
  </si>
  <si>
    <t>就现在考研小程序院校模块（2026-08-14读取）：https://admin.jiuxianzai.cn/api/applet/home/index/schoolDetail/04666d5b128db218a90e39f747d03dfc; https://admin.jiuxianzai.cn/api/applet/home/index/schoolDetail/20775c93b99cf5698397826887fa4815; https://admin.jiuxianzai.cn/api/applet/home/index/schoolDetail/464adb1fb8a82fa2bb215950f412d827; https://admin.jiuxianzai.cn/api/applet/home/index/schoolDetail/a3965c86ea7c934487502710e04554ae</t>
  </si>
  <si>
    <t>https://math.fudan.edu.cn/ca/cc/c30374a772812/page.htm ; https://scms.fudan.edu.cn/info/1047/12031.htm ; https://sds.fudan.edu.cn/ca/bd/c17701a772797/page.htm ; https://www.simis.cn/2026%E5%B9%B4%E7%A1%95%E5%A3%AB%E7%A0%94%E7%A9%B6%E5%A4%8D%E8%AF%95%E5%90%8D%E5%8D%95/ ; https://gsao.fudan.edu.cn/e6/ec/c15906a780012/page.htm | 全校025200四单位汇总：数学科学学院22复试/22录取；上海数学中心8/8；大数据学院92/88；上海数学与交叉学科研究院36/30。合计158/148，实际复录比1.068。拟录取初试分最低380、中位412、最高451。大数据学院名单同时含071400，按官方最终名单考号分组剔除，不将其计入025200。；就现在考研小程序院校模块（2026-08-14读取）：https://admin.jiuxianzai.cn/api/applet/home/index/schoolDetail/04666d5b128db218a90e39f747d03dfc; https://admin.jiuxianzai.cn/api/applet/home/index/schoolDetail/20775c93b99cf5698397826887fa4815; https://admin.jiuxianzai.cn/api/applet/home/index/schoolDetail/464adb1fb8a82fa2bb215950f412d827; https://admin.jiuxianzai.cn/api/applet/home/index/schoolDetail/a3965c86ea7c934487502710e04554ae；经人数与最低录取线校验的名单图：https://jiuxianzai.oss-cn-beijing.aliyuncs.com/kaoyan/2026/05/19/e061786fad8345eea5790809cb6ff1d1.png; https://jiuxianzai.oss-cn-beijing.aliyuncs.com/kaoyan/2026/05/19/02ae9ca1bc9241e28251b2cdb062dfc5.png; https://jiuxianzai.oss-cn-beijing.aliyuncs.com/kaoyan/2026/05/19/9e1166ed69c1442abb64d7c7c7241223.png; https://jiuxianzai.oss-cn-beijing.aliyuncs.com/kaoyan/2026/05/19/25428559b0cf4dbfb504859f2a22d035.png；卡方2026录取名单专辑交叉验证：录取149人，录取线380 | 2026年复旦大学公布拟录取名单89+30+8+22人 https://mp.weixin.qq.com/s?__biz=MzIxNTM0MjQ3OA==&amp;mid=2247512727&amp;idx=1&amp;sn=039c6897a8b83570f80b79ea937b6880&amp;chksm=979b3e76a0ecb7600fdb56cdb9880a179e965335e92e94cf464f1e9fc7ae698c38cd7eec8099#rd</t>
    <phoneticPr fontId="9" type="noConversion"/>
  </si>
  <si>
    <t>就现在考研小程序院校模块（2026-08-14读取）：https://admin.jiuxianzai.cn/api/applet/home/index/schoolDetail/39a1066661cc5563f00076704d954811；经人数与最低录取线校验的名单图：https://jiuxianzai.oss-cn-beijing.aliyuncs.com/kaoyan/2024/05/28/6ca57aa6f6c0426882eaecacad809d7c.png</t>
  </si>
  <si>
    <t>就现在考研小程序院校模块（2026-08-14读取）：https://admin.jiuxianzai.cn/api/applet/home/index/schoolDetail/39a1066661cc5563f00076704d954811；经人数与最低录取线校验的名单图：https://jiuxianzai.oss-cn-beijing.aliyuncs.com/kaoyan/2024/05/28/862cbda2d04445668ab122a9866801e7.png</t>
  </si>
  <si>
    <t>就现在考研小程序院校模块（2026-08-14读取）：https://admin.jiuxianzai.cn/api/applet/home/index/schoolDetail/39a1066661cc5563f00076704d954811；经人数与最低录取线校验的名单图：https://jiuxianzai.oss-cn-beijing.aliyuncs.com/kaoyan/2024/05/19/0a75f75ff4f345beb50e955efc2a5873.png</t>
  </si>
  <si>
    <t>就现在考研小程序院校模块（2026-08-14读取）：https://admin.jiuxianzai.cn/api/applet/home/index/schoolDetail/39a1066661cc5563f00076704d954811</t>
  </si>
  <si>
    <t>就现在考研小程序院校模块（2026-08-14读取）：https://admin.jiuxianzai.cn/api/applet/home/index/schoolDetail/39a1066661cc5563f00076704d954811；经人数与最低录取线校验的名单图：https://jiuxianzai.oss-cn-beijing.aliyuncs.com/kaoyan/2026/05/25/e528261201bc43cfabc7331471dce90f.png；卡方2026录取名单专辑交叉验证：录取线397 | 2026年东南大学公布拟录取名单17人 https://mp.weixin.qq.com/s?__biz=MzIxNTM0MjQ3OA==&amp;mid=2247512251&amp;idx=4&amp;sn=fcd7f47a7299ae69c3c03ccf201efdcf&amp;chksm=979b3c5aa0ecb54c5d08b1d811b66291b1dd3a04eef0e9414ef7c1ce7937163c78d548ed09c9#rd</t>
  </si>
  <si>
    <t>https://www.math.tsinghua.edu.cn/2022nianyingyongtongjizhuanyeshuoshixiangmugongkaizhaokaoniluqumingdangongshi.pdf | 普通统考拟录取；2026复录比=7/4，其余年份复试名单未闭合则不计算；就现在考研小程序院校模块（2026-08-14读取）：https://admin.jiuxianzai.cn/api/applet/home/index/schoolDetail/727293ed8fd7c3a5f2674f0546b020d3</t>
    <phoneticPr fontId="9" type="noConversion"/>
  </si>
  <si>
    <t>https://www.math.tsinghua.edu.cn/2023nianyingyongtongjizhuanyeshuoshiluqumingdangongshi.pdf | 普通统考拟录取；2026复录比=7/4，其余年份复试名单未闭合则不计算；就现在考研小程序院校模块（2026-08-14读取）：https://admin.jiuxianzai.cn/api/applet/home/index/schoolDetail/727293ed8fd7c3a5f2674f0546b020d3</t>
    <phoneticPr fontId="9" type="noConversion"/>
  </si>
  <si>
    <t>https://www.math.tsinghua.edu.cn/qinghuadaxue2024nianshuxuekexuexishuoshiyanjiushengyingyongtongjizhuanyeluqugongshimingdan.pdf | 普通统考拟录取；2026复录比=7/4，其余年份复试名单未闭合则不计算；就现在考研小程序院校模块（2026-08-14读取）：https://admin.jiuxianzai.cn/api/applet/home/index/schoolDetail/727293ed8fd7c3a5f2674f0546b020d3；经人数与最低录取线校验的名单图：https://jiuxianzai.oss-cn-beijing.aliyuncs.com/kaoyan/2024/05/08/ec71af13daf449faa89cdbcd200dd6d9.png</t>
    <phoneticPr fontId="9" type="noConversion"/>
  </si>
  <si>
    <t>https://www.math.tsinghua.edu.cn/qinghuadaxue2025nianshuxuekexuexishuoshiyanjiushengyingyongtongjizhuanyeniluqumingdangongshi.pdf | 普通统考拟录取；2026复录比=7/4，其余年份复试名单未闭合则不计算；就现在考研小程序院校模块（2026-08-14读取）：https://admin.jiuxianzai.cn/api/applet/home/index/schoolDetail/727293ed8fd7c3a5f2674f0546b020d3</t>
    <phoneticPr fontId="9" type="noConversion"/>
  </si>
  <si>
    <t>https://www.math.tsinghua.edu.cn/qinghuadaxue2026nianshuxuekexuexishuoshiyanjiushengyingyongtongjizhuanyeniluqumingdangongshi.pdf ; https://math.tsinghua.edu.cn/css/qinghuadaxue2026nianshuxuekexuexiquanguoshuoshiyanjiushengzhaoshengkaoshiyingyongtongjizhuanyeruweifushimingdangongshi.pdf | 普通统考拟录取；2026复录比=7/4，其余年份复试名单未闭合则不计算；就现在考研小程序院校模块（2026-08-14读取）：https://admin.jiuxianzai.cn/api/applet/home/index/schoolDetail/727293ed8fd7c3a5f2674f0546b020d3；经人数与最低录取线校验的名单图：https://jiuxianzai.oss-cn-beijing.aliyuncs.com/kaoyan/2026/05/06/05b9aca53bf44e92aac7cc0a8c56a3d7.png；卡方2026录取名单专辑交叉验证：录取线400 | 2026年清华大学公布拟录取名单4人 https://mp.weixin.qq.com/s?__biz=MzIxNTM0MjQ3OA==&amp;mid=2247511820&amp;idx=3&amp;sn=ff869c735847ee446ed5996fc2b54269&amp;chksm=979b23eda0ecaafbb29372b852f8fb189a5f3e05490667a5fe4c5e94eba75a35076096ffbcae#rd</t>
    <phoneticPr fontId="9" type="noConversion"/>
  </si>
  <si>
    <t>就现在考研小程序院校模块（2026-08-14读取）：https://admin.jiuxianzai.cn/api/applet/home/index/schoolDetail/c1e96541506f114e67db7328097dc137</t>
  </si>
  <si>
    <t>就现在考研小程序院校模块（2026-08-14读取）：https://admin.jiuxianzai.cn/api/applet/home/index/schoolDetail/c1e96541506f114e67db7328097dc137；经人数与最低录取线校验的名单图：https://jiuxianzai.oss-cn-beijing.aliyuncs.com/kaoyan/2024/04/08/cdd2cdd0994f4a128c0b184c76250957.png</t>
  </si>
  <si>
    <t>https://www.sjds.net/a/462173.html | 机构页称差额比例不低于120%；就现在考研小程序院校模块（2026-08-14读取）：https://admin.jiuxianzai.cn/api/applet/home/index/schoolDetail/c1e96541506f114e67db7328097dc137；经人数与最低录取线校验的名单图：https://jiuxianzai.oss-cn-beijing.aliyuncs.com/kaoyan/2025/04/03/55129b2aaf0349f89b756967ff9e48ad.png</t>
    <phoneticPr fontId="9" type="noConversion"/>
  </si>
  <si>
    <t>就现在考研小程序院校模块（2026-08-14读取）：https://admin.jiuxianzai.cn/api/applet/home/index/schoolDetail/c1e96541506f114e67db7328097dc137；经人数与最低录取线校验的名单图：https://jiuxianzai.oss-cn-beijing.aliyuncs.com/kaoyan/2026/05/22/6b3b54fd1b97464284beddf7c60c802d.png；卡方2026录取名单专辑交叉验证：录取线376 | 2026年华中科技大学公布拟录取名单27人 https://mp.weixin.qq.com/s?__biz=MzIxNTM0MjQ3OA==&amp;mid=2247511185&amp;idx=1&amp;sn=bae230d535cefa7a559f5a6d9c6d360a&amp;chksm=979b2070a0eca966d2e79b831429d9fa40e6703a7669b8c18d573bec07dd70fda95b72d0a571#rd</t>
  </si>
  <si>
    <t>就现在考研小程序院校模块（2026-08-14读取）：https://admin.jiuxianzai.cn/api/applet/home/index/schoolDetail/300dbc29da0aeeb262577bf3a2f9c731; https://admin.jiuxianzai.cn/api/applet/home/index/schoolDetail/4de5e4b6113e5803bba81a94daba700d; https://admin.jiuxianzai.cn/api/applet/home/index/schoolDetail/ea6250017d6f28cf5b2cdc731ace3e15</t>
  </si>
  <si>
    <t>就现在考研小程序院校模块（2026-08-14读取）：https://admin.jiuxianzai.cn/api/applet/home/index/schoolDetail/300dbc29da0aeeb262577bf3a2f9c731; https://admin.jiuxianzai.cn/api/applet/home/index/schoolDetail/4de5e4b6113e5803bba81a94daba700d; https://admin.jiuxianzai.cn/api/applet/home/index/schoolDetail/ea6250017d6f28cf5b2cdc731ace3e15；经人数与最低录取线校验的名单图：https://jiuxianzai.oss-cn-beijing.aliyuncs.com/kaoyan/2024/05/29/f337fccaafb64815b73f7f181f937611.png; https://jiuxianzai.oss-cn-beijing.aliyuncs.com/kaoyan/2024/05/29/aa2dd16d9b5f4283971264a2571644eb.png; https://jiuxianzai.oss-cn-beijing.aliyuncs.com/kaoyan/2024/04/08/f7cc1ab6102e45adbbd4f98c4e0d7e31.png</t>
  </si>
  <si>
    <t>就现在考研小程序院校模块（2026-08-14读取）：https://admin.jiuxianzai.cn/api/applet/home/index/schoolDetail/300dbc29da0aeeb262577bf3a2f9c731; https://admin.jiuxianzai.cn/api/applet/home/index/schoolDetail/4de5e4b6113e5803bba81a94daba700d; https://admin.jiuxianzai.cn/api/applet/home/index/schoolDetail/ea6250017d6f28cf5b2cdc731ace3e15；经人数与最低录取线校验的名单图：https://jiuxianzai.oss-cn-beijing.aliyuncs.com/kaoyan/2025/04/07/02d49fc1f02f4b628430b471cc46b7a0.png; https://jiuxianzai.oss-cn-beijing.aliyuncs.com/kaoyan/2025/04/15/99228ebf303344ef8ed8ea606faceace.png; https://jiuxianzai.oss-cn-beijing.aliyuncs.com/kaoyan/2025/04/15/a897cd0d0f704a12b69324750bcb45f1.png</t>
  </si>
  <si>
    <t>就现在考研小程序院校模块（2026-08-14读取）：https://admin.jiuxianzai.cn/api/applet/home/index/schoolDetail/300dbc29da0aeeb262577bf3a2f9c731; https://admin.jiuxianzai.cn/api/applet/home/index/schoolDetail/4de5e4b6113e5803bba81a94daba700d; https://admin.jiuxianzai.cn/api/applet/home/index/schoolDetail/ea6250017d6f28cf5b2cdc731ace3e15；卡方2026录取名单专辑交叉验证：录取线380/378/375 | 2026年北京师范大学公布拟录取名单264人 https://mp.weixin.qq.com/s?__biz=MzIxNTM0MjQ3OA==&amp;mid=2247511444&amp;idx=1&amp;sn=2772178f6ecc3164d43d409d8fe0a32e&amp;chksm=979b2175a0eca863db2bda2c5d7b4250cdf041bd48a2b93fa10e1cc2e351470c91e094d3d1b1#rd；统计战线小程序三方向2026名单图逐页复核，并与卡方文章‘264人’闭合：01方向122复试/101录取（最低380、中位405、最高436）；02方向166/137（最低378、中位406、最高443）；03方向26/26（最低375、中位397.5、最高422）。合并264人后第132、133位均为405，故全专业中位405；合计314人复试。</t>
  </si>
  <si>
    <t>就现在考研小程序院校模块（2026-08-14读取）：https://admin.jiuxianzai.cn/api/applet/home/index/schoolDetail/81d3842172005015b9d5a740cc5c7b5a；经人数与最低录取线校验的名单图：https://jiuxianzai.oss-cn-beijing.aliyuncs.com/kaoyan/2022/04/17/94f7f086458d43d0a4c52dd6f175919f.png</t>
  </si>
  <si>
    <t>就现在考研小程序院校模块（2026-08-14读取）：https://admin.jiuxianzai.cn/api/applet/home/index/schoolDetail/81d3842172005015b9d5a740cc5c7b5a</t>
  </si>
  <si>
    <t>就现在考研小程序院校模块（2026-08-14读取）：https://admin.jiuxianzai.cn/api/applet/home/index/schoolDetail/81d3842172005015b9d5a740cc5c7b5a；经人数与最低录取线校验的名单图：https://jiuxianzai.oss-cn-beijing.aliyuncs.com/kaoyan/2024/04/14/8033e7be4c5941b587d0920e64079556.png</t>
  </si>
  <si>
    <t>就现在考研小程序院校模块（2026-08-14读取）：https://admin.jiuxianzai.cn/api/applet/home/index/schoolDetail/81d3842172005015b9d5a740cc5c7b5a；经人数与最低录取线校验的名单图：https://jiuxianzai.oss-cn-beijing.aliyuncs.com/kaoyan/2025/04/07/797eff3dc419452a9c5da21f594de181.png</t>
  </si>
  <si>
    <t>就现在考研小程序院校模块（2026-08-14读取）：https://admin.jiuxianzai.cn/api/applet/home/index/schoolDetail/81d3842172005015b9d5a740cc5c7b5a；经人数与最低录取线校验的名单图：https://jiuxianzai.oss-cn-beijing.aliyuncs.com/kaoyan/2026/05/14/bb2e4ecdadfe486db188cb4f994d1467.png；卡方2026录取名单专辑交叉验证：录取线390 | 2026年吉林大学公布拟录取名单9人 https://mp.weixin.qq.com/s?__biz=MzIxNTM0MjQ3OA==&amp;mid=2247511519&amp;idx=3&amp;sn=95bbcf73a2a954e8c4807b7309821d0e&amp;chksm=979b213ea0eca828f8841239fbff1a72e6e6821d956b5fd9ee586dad1c5051c2cdeaafb6edc2#rd；主流机构小程序名单图（与人数、最低录取线双重校验）：https://jiuxianzai.oss-cn-beijing.aliyuncs.com/kaoyan/2026/05/14/bb2e4ecdadfe486db188cb4f994d1467.png；图片注释明确绿色为未拟录取；剔除绿色行及免初试专项计划后，9人成绩为428、428、426、413、403、401、395、394、390。</t>
  </si>
  <si>
    <t>就现在考研小程序院校模块（2026-08-14读取）：https://admin.jiuxianzai.cn/api/applet/home/index/schoolDetail/06c2e9363cf81254227f3c0cf9a8a3d8</t>
  </si>
  <si>
    <t>就现在考研小程序院校模块（2026-08-14读取）：https://admin.jiuxianzai.cn/api/applet/home/index/schoolDetail/06c2e9363cf81254227f3c0cf9a8a3d8；经人数与最低录取线校验的名单图：https://jiuxianzai.oss-cn-beijing.aliyuncs.com/kaoyan/2024/04/08/2c964d76802a42f99df763ffadbb08a7.png</t>
  </si>
  <si>
    <t>就现在考研小程序院校模块（2026-08-14读取）：https://admin.jiuxianzai.cn/api/applet/home/index/schoolDetail/06c2e9363cf81254227f3c0cf9a8a3d8；经人数与最低录取线校验的名单图：https://jiuxianzai.oss-cn-beijing.aliyuncs.com/kaoyan/2026/05/14/9a328bdb0ac24b58a25f9d9dd7804b69.png；卡方2026录取名单专辑交叉验证：收调剂！录取线370 | 2026年兰州大学公布拟录取名单68人 https://mp.weixin.qq.com/s?__biz=MzIxNTM0MjQ3OA==&amp;mid=2247511519&amp;idx=4&amp;sn=039099bf9aacec1b0830d3e4d356c085&amp;chksm=979b213ea0eca8282b2cb249eb4bdb9032038c3f125385c3469f156bcb7e5697796a254f35d3#rd</t>
  </si>
  <si>
    <t>就现在考研小程序院校模块（2026-08-14读取）：https://admin.jiuxianzai.cn/api/applet/home/index/schoolDetail/78b55c383768fe4a90acc4aaacbf692a; https://admin.jiuxianzai.cn/api/applet/home/index/schoolDetail/8b7ba3fc84812cac8b0bc8f00fe842aa</t>
  </si>
  <si>
    <t>就现在考研小程序院校模块（2026-08-14读取）：https://admin.jiuxianzai.cn/api/applet/home/index/schoolDetail/78b55c383768fe4a90acc4aaacbf692a; https://admin.jiuxianzai.cn/api/applet/home/index/schoolDetail/8b7ba3fc84812cac8b0bc8f00fe842aa；经人数与最低录取线校验的名单图：https://jiuxianzai.oss-cn-beijing.aliyuncs.com/kaoyan/2026/05/14/d197fe2a4f854380b6a8db339bc3a696.png; https://jiuxianzai.oss-cn-beijing.aliyuncs.com/kaoyan/2026/05/14/13d30b77ca544932bb1417fed8d1dfd2.png；卡方2026录取名单专辑交叉验证：录取线370 | 2026年西安交通大学经济与金融学院公布拟录取名单24人 https://mp.weixin.qq.com/s?__biz=MzIxNTM0MjQ3OA==&amp;mid=2247511476&amp;idx=4&amp;sn=1d2f372abd4f6689b8cf53c2b622b68c&amp;chksm=979b2155a0eca8435d15836c6253c667fcab98355f52ae1038ba6c6584fbd7b14d062e0a84e3#rd；录取线390/370 | 2026年西安交通大学公布拟录取名单42+24人 https://mp.weixin.qq.com/s?__biz=MzIxNTM0MjQ3OA==&amp;mid=2247511884&amp;idx=4&amp;sn=c8cf84f5dbcecbab79655aa864cf27c7&amp;chksm=979b23ada0ecaabbadba8f8ae04ce6e2c0b9b0c6e3a724d5c0f29d45cf8bed351322522e8331#rd</t>
  </si>
  <si>
    <t>就现在考研小程序院校模块（2026-08-14读取）：https://admin.jiuxianzai.cn/api/applet/home/index/schoolDetail/9992ea5cc0f3be699aa80b38b6171e7c；经人数与最低录取线校验的名单图：https://jiuxianzai.oss-cn-beijing.aliyuncs.com/kaoyan/2022/04/17/7166b40a9ac341aaa8c954c955ca11d3.png</t>
  </si>
  <si>
    <t>就现在考研小程序院校模块（2026-08-14读取）：https://admin.jiuxianzai.cn/api/applet/home/index/schoolDetail/9992ea5cc0f3be699aa80b38b6171e7c</t>
  </si>
  <si>
    <t>就现在考研小程序院校模块（2026-08-14读取）：https://admin.jiuxianzai.cn/api/applet/home/index/schoolDetail/9992ea5cc0f3be699aa80b38b6171e7c；经人数与最低录取线校验的名单图：https://jiuxianzai.oss-cn-beijing.aliyuncs.com/kaoyan/2025/04/03/96abe37add584415b45f755cc7043018.png</t>
  </si>
  <si>
    <t>就现在考研小程序院校模块（2026-08-14读取）：https://admin.jiuxianzai.cn/api/applet/home/index/schoolDetail/9992ea5cc0f3be699aa80b38b6171e7c；卡方2026录取名单专辑交叉验证：录取线402 | 2026年中南大学公布拟录取名单27人 https://mp.weixin.qq.com/s?__biz=MzIxNTM0MjQ3OA==&amp;mid=2247511519&amp;idx=2&amp;sn=0a2b35b21cd52586c34a19cf97a23ad3&amp;chksm=979b213ea0eca82857c712cb1a328a95ea714600f71291a25d46d1a1c9832b39e5a4df6c784c#rd；卡方2026录取文章正文名单图深度下滑复核：33名复试考生中第22、23、25、29、32、33行为蓝色未拟录取，余27人拟录取；拟录取初试最低402、中位415、最高435，复试33/录取27。</t>
  </si>
  <si>
    <t>就现在考研小程序院校模块（2026-08-14读取）：https://admin.jiuxianzai.cn/api/applet/home/index/schoolDetail/b0ae736153035d286890da2d0a95b244</t>
  </si>
  <si>
    <t>就现在考研小程序院校模块（2026-08-14读取）：https://admin.jiuxianzai.cn/api/applet/home/index/schoolDetail/b0ae736153035d286890da2d0a95b244；经人数与最低录取线校验的名单图：https://jiuxianzai.oss-cn-beijing.aliyuncs.com/kaoyan/2024/05/11/078da1507b96413d837047e3c132587f.png</t>
  </si>
  <si>
    <t>https://yz.cqu.edu.cn/upload/202505/9adafabf.pdf | 本科院校未披露；未找到闭合复试名单；就现在考研小程序院校模块（2026-08-14读取）：https://admin.jiuxianzai.cn/api/applet/home/index/schoolDetail/b0ae736153035d286890da2d0a95b244</t>
    <phoneticPr fontId="9" type="noConversion"/>
  </si>
  <si>
    <t>就现在考研小程序院校模块（2026-08-14读取）：https://admin.jiuxianzai.cn/api/applet/home/index/schoolDetail/b0ae736153035d286890da2d0a95b244；经人数与最低录取线校验的名单图：https://jiuxianzai.oss-cn-beijing.aliyuncs.com/kaoyan/2026/05/14/6736f3662922478a98137b87757c4516.png；卡方2026录取名单专辑交叉验证：录取线390 | 2026年重庆大学公布拟录取名单50+1人 https://mp.weixin.qq.com/s?__biz=MzIxNTM0MjQ3OA==&amp;mid=2247511756&amp;idx=4&amp;sn=4af74fe195e04148644cc116ce8d3630&amp;chksm=979b222da0ecab3b7dd3b456af110aa1ce3f864bde96108544dade56523ac35fa392f3dd1d61#rd</t>
  </si>
  <si>
    <t>就现在考研小程序院校模块（2026-08-14读取）：https://admin.jiuxianzai.cn/api/applet/home/index/schoolDetail/b4bdac7bbcc576c0d8e30f51a1934e02</t>
  </si>
  <si>
    <t>就现在考研小程序院校模块（2026-08-14读取）：https://admin.jiuxianzai.cn/api/applet/home/index/schoolDetail/b4bdac7bbcc576c0d8e30f51a1934e02；经人数与最低录取线校验的名单图：https://jiuxianzai.oss-cn-beijing.aliyuncs.com/kaoyan/2024/04/08/ed785bf414e54e34b7025928fbb79bc8.png</t>
  </si>
  <si>
    <t>就现在考研小程序院校模块（2026-08-14读取）：https://admin.jiuxianzai.cn/api/applet/home/index/schoolDetail/b4bdac7bbcc576c0d8e30f51a1934e02；经人数与最低录取线校验的名单图：https://jiuxianzai.oss-cn-beijing.aliyuncs.com/kaoyan/2025/04/04/2e5e39af89ba44caa0c2ae6b843e7834.png</t>
  </si>
  <si>
    <t>就现在考研小程序院校模块（2026-08-14读取）：https://admin.jiuxianzai.cn/api/applet/home/index/schoolDetail/b4bdac7bbcc576c0d8e30f51a1934e02；经人数与最低录取线校验的名单图：https://jiuxianzai.oss-cn-beijing.aliyuncs.com/kaoyan/2026/05/14/425536ad86a84134be2e5d24b9636d87.png；卡方2026录取名单专辑交叉验证：录取线357| 2026年西北工业大学公布拟录取名单4人 https://mp.weixin.qq.com/s?__biz=MzIxNTM0MjQ3OA==&amp;mid=2247512178&amp;idx=7&amp;sn=ed78ea38c44f9de403e85075fa84003e&amp;chksm=979b3c93a0ecb5856aaea02bfff2d5377a15f0a868452c54b44fd3bfe2727377c3422228b6ef#rd</t>
  </si>
  <si>
    <t>就现在考研小程序院校模块（2026-08-14读取）：https://admin.jiuxianzai.cn/api/applet/home/index/schoolDetail/6735cd916411ef7217dd98b2b5c1dba3</t>
  </si>
  <si>
    <t>就现在考研小程序院校模块（2026-08-14读取）：https://admin.jiuxianzai.cn/api/applet/home/index/schoolDetail/6735cd916411ef7217dd98b2b5c1dba3；经人数与最低录取线校验的名单图：https://jiuxianzai.oss-cn-beijing.aliyuncs.com/kaoyan/2024/04/08/7d8a66ca717148e7a2f145f19e5666c2.png</t>
  </si>
  <si>
    <t>就现在考研小程序院校模块（2026-08-14读取）：https://admin.jiuxianzai.cn/api/applet/home/index/schoolDetail/6735cd916411ef7217dd98b2b5c1dba3；经人数与最低录取线校验的名单图：https://jiuxianzai.oss-cn-beijing.aliyuncs.com/kaoyan/2025/04/03/0e65a1827f0647d9a902b51073724bc3.png</t>
  </si>
  <si>
    <t>就现在考研小程序院校模块（2026-08-14读取）：https://admin.jiuxianzai.cn/api/applet/home/index/schoolDetail/6735cd916411ef7217dd98b2b5c1dba3；经人数与最低录取线校验的名单图：https://jiuxianzai.oss-cn-beijing.aliyuncs.com/kaoyan/2026/05/14/36dfeea154274c78b21d6ee3f2cd8e26.png；卡方2026录取名单专辑交叉验证：录取线391 | 2026年大连理工大学公布拟录取名单9人 https://mp.weixin.qq.com/s?__biz=MzIxNTM0MjQ3OA==&amp;mid=2247511444&amp;idx=3&amp;sn=bd487bc74cd8b17ca4bf81e1963828fa&amp;chksm=979b2175a0eca863a3cea57935290b0711daf4e7813d4a96f345a983f897e110613367af55af#rd</t>
  </si>
  <si>
    <t>就现在考研小程序院校模块（2026-08-14读取）：https://admin.jiuxianzai.cn/api/applet/home/index/schoolDetail/57be15d871bf0ffdcc70961ecb6569bb; https://admin.jiuxianzai.cn/api/applet/home/index/schoolDetail/a56214dee150a9b44e99b84060a46aab; https://admin.jiuxianzai.cn/api/applet/home/index/schoolDetail/eb00c0513fdc83882bb18aafb5570cf6</t>
  </si>
  <si>
    <t>就现在考研小程序院校模块（2026-08-14读取）：https://admin.jiuxianzai.cn/api/applet/home/index/schoolDetail/57be15d871bf0ffdcc70961ecb6569bb; https://admin.jiuxianzai.cn/api/applet/home/index/schoolDetail/a56214dee150a9b44e99b84060a46aab; https://admin.jiuxianzai.cn/api/applet/home/index/schoolDetail/eb00c0513fdc83882bb18aafb5570cf6；经人数与最低录取线校验的名单图：https://jiuxianzai.oss-cn-beijing.aliyuncs.com/kaoyan/2024/04/14/03a313f1055e4d14ad39dafc1fb5c285.png; https://jiuxianzai.oss-cn-beijing.aliyuncs.com/kaoyan/2024/04/14/ba69e7316a2744209587cb891156115c.png; https://jiuxianzai.oss-cn-beijing.aliyuncs.com/kaoyan/2024/04/14/a4f13f0edec443fb8bac6c85dbea2c62.png</t>
  </si>
  <si>
    <t>就现在考研小程序院校模块（2026-08-14读取）：https://admin.jiuxianzai.cn/api/applet/home/index/schoolDetail/57be15d871bf0ffdcc70961ecb6569bb; https://admin.jiuxianzai.cn/api/applet/home/index/schoolDetail/a56214dee150a9b44e99b84060a46aab; https://admin.jiuxianzai.cn/api/applet/home/index/schoolDetail/eb00c0513fdc83882bb18aafb5570cf6；经人数与最低录取线校验的名单图：https://jiuxianzai.oss-cn-beijing.aliyuncs.com/kaoyan/2025/10/09/725c31dad99449fc9f057e721eb99b9c.png; https://jiuxianzai.oss-cn-beijing.aliyuncs.com/kaoyan/2025/10/09/a857ed71463241fda4cae68b1283d32f.png; https://jiuxianzai.oss-cn-beijing.aliyuncs.com/kaoyan/2025/10/09/32295303b66d4779947c56c9f060e40f.png</t>
  </si>
  <si>
    <t>就现在考研小程序院校模块（2026-08-14读取）：https://admin.jiuxianzai.cn/api/applet/home/index/schoolDetail/57be15d871bf0ffdcc70961ecb6569bb; https://admin.jiuxianzai.cn/api/applet/home/index/schoolDetail/a56214dee150a9b44e99b84060a46aab; https://admin.jiuxianzai.cn/api/applet/home/index/schoolDetail/eb00c0513fdc83882bb18aafb5570cf6；卡方2026录取名单专辑交叉验证：校内调剂，录取线377/370/363 | 2026年东北大学公布拟录取名单16+3+5+2人 https://mp.weixin.qq.com/s?__biz=MzIxNTM0MjQ3OA==&amp;mid=2247511770&amp;idx=4&amp;sn=c6ff75d9ed138727e1edcc30d5db49b0&amp;chksm=979b223ba0ecab2dfb6a2f6a83a9ac8aa9956d063d5828a24294f2801fd03de3738d7759cbd9#rd</t>
  </si>
  <si>
    <t>就现在考研小程序院校模块（2026-08-14读取）：https://admin.jiuxianzai.cn/api/applet/home/index/schoolDetail/5cc9312943c90cba85bb2d324933e5cf; https://admin.jiuxianzai.cn/api/applet/home/index/schoolDetail/ab43bf74efe98dc996b878a32bd695d8</t>
  </si>
  <si>
    <t>就现在考研小程序院校模块（2026-08-14读取）：https://admin.jiuxianzai.cn/api/applet/home/index/schoolDetail/5cc9312943c90cba85bb2d324933e5cf; https://admin.jiuxianzai.cn/api/applet/home/index/schoolDetail/ab43bf74efe98dc996b878a32bd695d8；经人数与最低录取线校验的名单图：https://jiuxianzai.oss-cn-beijing.aliyuncs.com/kaoyan/2024/05/01/126dc7bf6b5744a9b9b81311c5ea7c7b.png; https://jiuxianzai.oss-cn-beijing.aliyuncs.com/kaoyan/2024/05/01/ccf28d76aaed4d30afe773738d90120d.png</t>
  </si>
  <si>
    <t>https://stat.ruc.edu.cn/tzgg/8fb8c0c652e04a7c9e6c30b4adb218f6.htm | 官方公布差额比例129%、统考计划28人；未用比例反推具体复试人数；就现在考研小程序院校模块（2026-08-14读取）：https://admin.jiuxianzai.cn/api/applet/home/index/schoolDetail/5cc9312943c90cba85bb2d324933e5cf; https://admin.jiuxianzai.cn/api/applet/home/index/schoolDetail/ab43bf74efe98dc996b878a32bd695d8</t>
    <phoneticPr fontId="9" type="noConversion"/>
  </si>
  <si>
    <t>就现在考研小程序院校模块（2026-08-14读取）：https://admin.jiuxianzai.cn/api/applet/home/index/schoolDetail/5cc9312943c90cba85bb2d324933e5cf; https://admin.jiuxianzai.cn/api/applet/home/index/schoolDetail/ab43bf74efe98dc996b878a32bd695d8；经人数与最低录取线校验的名单图：https://jiuxianzai.oss-cn-beijing.aliyuncs.com/kaoyan/2026/05/14/3f0bfbbc422b4bdab6aabdd20c18216d.png; https://jiuxianzai.oss-cn-beijing.aliyuncs.com/kaoyan/2026/05/14/3daa2a7a7ed44da095916da7d2643b46.png；卡方2026录取名单专辑交叉验证：相差40分，录取线386/344 | 2026年中国人民大学公布拟录取名单32+13+1人 https://mp.weixin.qq.com/s?__biz=MzIxNTM0MjQ3OA==&amp;mid=2247511877&amp;idx=4&amp;sn=e486845d30ee1931a03595a9baf5f063&amp;chksm=979b23a4a0ecaab2eed73f14056cf0b97f7d6b544d396fbc4c2e652df27614b1a52ad1f6fb4d#rd</t>
  </si>
  <si>
    <t>就现在考研小程序院校模块（2026-08-14读取）：https://admin.jiuxianzai.cn/api/applet/home/index/schoolDetail/2abe7e3630536d13e6c24af313946f55; https://admin.jiuxianzai.cn/api/applet/home/index/schoolDetail/ac7907670ef7f7988197585cbbbe5f55</t>
  </si>
  <si>
    <t>就现在考研小程序院校模块（2026-08-14读取）：https://admin.jiuxianzai.cn/api/applet/home/index/schoolDetail/2abe7e3630536d13e6c24af313946f55; https://admin.jiuxianzai.cn/api/applet/home/index/schoolDetail/ac7907670ef7f7988197585cbbbe5f55；经人数与最低录取线校验的名单图：https://jiuxianzai.oss-cn-beijing.aliyuncs.com/kaoyan/2024/04/08/1bf92527bac449f186677fdd42ad6c8c.png</t>
  </si>
  <si>
    <t>就现在考研小程序院校模块（2026-08-14读取）：https://admin.jiuxianzai.cn/api/applet/home/index/schoolDetail/2abe7e3630536d13e6c24af313946f55; https://admin.jiuxianzai.cn/api/applet/home/index/schoolDetail/ac7907670ef7f7988197585cbbbe5f55；经人数与最低录取线校验的名单图：https://jiuxianzai.oss-cn-beijing.aliyuncs.com/kaoyan/2025/04/04/16d988dc5a2f4988812e145822132d84.png</t>
  </si>
  <si>
    <t>就现在考研小程序院校模块（2026-08-14读取）：https://admin.jiuxianzai.cn/api/applet/home/index/schoolDetail/2abe7e3630536d13e6c24af313946f55; https://admin.jiuxianzai.cn/api/applet/home/index/schoolDetail/ac7907670ef7f7988197585cbbbe5f55；经人数与最低录取线校验的名单图：https://jiuxianzai.oss-cn-beijing.aliyuncs.com/kaoyan/2026/05/14/2c6b0c02223343069b9f6a790e6cfe26.png; https://jiuxianzai.oss-cn-beijing.aliyuncs.com/kaoyan/2026/05/14/92f69d1e6e5841cba0f12bd65b456812.png；卡方2026录取名单专辑交叉验证：录取线358/387｜2026年哈尔滨工业大学公布拟录取名单24+1+2人 https://mp.weixin.qq.com/s?__biz=MzIxNTM0MjQ3OA==&amp;mid=2247511834&amp;idx=4&amp;sn=6b083f36d19e55940fd9a2aea2a36777&amp;chksm=979b23fba0ecaaedfc59112f04bf19e883102f0ca2ac99c145d9c25aec1ee69df5cfe4d1c968#rd</t>
  </si>
  <si>
    <t>就现在考研小程序院校模块（2026-08-14读取）：https://admin.jiuxianzai.cn/api/applet/home/index/schoolDetail/66ed9f49b9b099637689a24514d230ca; https://admin.jiuxianzai.cn/api/applet/home/index/schoolDetail/d47a11518920b7bad3d5ed52d26c6685</t>
  </si>
  <si>
    <t>就现在考研小程序院校模块（2026-08-14读取）：https://admin.jiuxianzai.cn/api/applet/home/index/schoolDetail/66ed9f49b9b099637689a24514d230ca; https://admin.jiuxianzai.cn/api/applet/home/index/schoolDetail/d47a11518920b7bad3d5ed52d26c6685；经人数与最低录取线校验的名单图：https://jiuxianzai.oss-cn-beijing.aliyuncs.com/kaoyan/2025/04/03/fcbc1db47b7940d8a4278b9559834a57.png; https://jiuxianzai.oss-cn-beijing.aliyuncs.com/kaoyan/2025/04/03/8a8fb43e1ccc45ab80ba625c8ab65ba0.png</t>
  </si>
  <si>
    <t>就现在考研小程序院校模块（2026-08-14读取）：https://admin.jiuxianzai.cn/api/applet/home/index/schoolDetail/66ed9f49b9b099637689a24514d230ca; https://admin.jiuxianzai.cn/api/applet/home/index/schoolDetail/d47a11518920b7bad3d5ed52d26c6685；经人数与最低录取线校验的名单图：https://jiuxianzai.oss-cn-beijing.aliyuncs.com/kaoyan/2026/05/14/21b2e7050f184975974d0f5cd028600d.png; https://jiuxianzai.oss-cn-beijing.aliyuncs.com/kaoyan/2026/05/14/87876062a28d4054aa88130454389599.png；卡方2026录取名单专辑交叉验证：录取线383 | 2026年中山大学数学学院公布拟录取名单37人，候补3人 https://mp.weixin.qq.com/s?__biz=MzIxNTM0MjQ3OA==&amp;mid=2247511227&amp;idx=1&amp;sn=2e169133b6676bf8e670061159b7ad1a&amp;chksm=979b205aa0eca94ce3ec6c7d4a295fed0289087797929838ee0679dddfb2e828a29e6f105860#rd；录取线383/367 | 2026年中山大学公布拟录取名单37+7人，候补3人 https://mp.weixin.qq.com/s?__biz=MzIxNTM0MjQ3OA==&amp;mid=2247511276&amp;idx=2&amp;sn=2ce4b547da2174434559dd954cd57f3a&amp;chksm=979b200da0eca91b665463aac8fb7b0f819830f804907eac473f87b61203b7abfb4e0e621367#rd</t>
  </si>
  <si>
    <t>就现在考研小程序院校模块（2026-08-14读取）：https://admin.jiuxianzai.cn/api/applet/home/index/schoolDetail/331a930094fdde14ed239c3719efb92f; https://admin.jiuxianzai.cn/api/applet/home/index/schoolDetail/dc429a8368db232074a6ecc990d24f28</t>
  </si>
  <si>
    <t>https://www.sjds.net/a/461938.html | 机构页称复试比例150%；两培养单位口径需官网复核；就现在考研小程序院校模块（2026-08-14读取）：https://admin.jiuxianzai.cn/api/applet/home/index/schoolDetail/331a930094fdde14ed239c3719efb92f; https://admin.jiuxianzai.cn/api/applet/home/index/schoolDetail/dc429a8368db232074a6ecc990d24f28</t>
    <phoneticPr fontId="9" type="noConversion"/>
  </si>
  <si>
    <t>就现在考研小程序院校模块（2026-08-14读取）：https://admin.jiuxianzai.cn/api/applet/home/index/schoolDetail/331a930094fdde14ed239c3719efb92f; https://admin.jiuxianzai.cn/api/applet/home/index/schoolDetail/dc429a8368db232074a6ecc990d24f28；经人数与最低录取线校验的名单图：https://jiuxianzai.oss-cn-beijing.aliyuncs.com/kaoyan/2026/05/14/80a2e940041d43d1a7a4f3885b38f55e.png；卡方2026录取名单专辑交叉验证：录取线400 | 2026年厦门大学公布拟录取名单44+6人 https://mp.weixin.qq.com/s?__biz=MzIxNTM0MjQ3OA==&amp;mid=2247511546&amp;idx=1&amp;sn=c026617f09ae8b653199d3d1bf553829&amp;chksm=979b211ba0eca80daade56135de753f20fcbf37ac4c9a761d7b7f918871df534972d017c4783#rd</t>
  </si>
  <si>
    <t>就现在考研小程序院校模块（2026-08-14读取）：https://admin.jiuxianzai.cn/api/applet/home/index/schoolDetail/31b62e0d95454d48153d7796036ac476; https://admin.jiuxianzai.cn/api/applet/home/index/schoolDetail/40fec209b0e48864d536ae90cb4f263e; https://admin.jiuxianzai.cn/api/applet/home/index/schoolDetail/727607996751a2d9d928e322d0752dec; https://admin.jiuxianzai.cn/api/applet/home/index/schoolDetail/e8d69b8f2c3ea00a6c831e8267c87cbf</t>
  </si>
  <si>
    <t>就现在考研小程序院校模块（2026-08-14读取）：https://admin.jiuxianzai.cn/api/applet/home/index/schoolDetail/31b62e0d95454d48153d7796036ac476; https://admin.jiuxianzai.cn/api/applet/home/index/schoolDetail/40fec209b0e48864d536ae90cb4f263e; https://admin.jiuxianzai.cn/api/applet/home/index/schoolDetail/727607996751a2d9d928e322d0752dec; https://admin.jiuxianzai.cn/api/applet/home/index/schoolDetail/e8d69b8f2c3ea00a6c831e8267c87cbf；经人数与最低录取线校验的名单图：https://jiuxianzai.oss-cn-beijing.aliyuncs.com/kaoyan/2024/04/08/b9e97e09f3124a4fa510afd25a671b29.png; https://jiuxianzai.oss-cn-beijing.aliyuncs.com/kaoyan/2024/04/08/381af16d7c874a5b9e2028b4c9c782bc.png</t>
  </si>
  <si>
    <t>就现在考研小程序院校模块（2026-08-14读取）：https://admin.jiuxianzai.cn/api/applet/home/index/schoolDetail/31b62e0d95454d48153d7796036ac476; https://admin.jiuxianzai.cn/api/applet/home/index/schoolDetail/40fec209b0e48864d536ae90cb4f263e; https://admin.jiuxianzai.cn/api/applet/home/index/schoolDetail/727607996751a2d9d928e322d0752dec; https://admin.jiuxianzai.cn/api/applet/home/index/schoolDetail/e8d69b8f2c3ea00a6c831e8267c87cbf；经人数与最低录取线校验的名单图：https://jiuxianzai.oss-cn-beijing.aliyuncs.com/kaoyan/2026/05/14/52b85047fb4646c5b697709c02989293.png; https://jiuxianzai.oss-cn-beijing.aliyuncs.com/kaoyan/2026/05/14/287833fb5d0b4f38a9e81106b062ca35.png; https://jiuxianzai.oss-cn-beijing.aliyuncs.com/kaoyan/2026/05/14/6a31d9257d03465e8ce07001c0371e93.png; https://jiuxianzai.oss-cn-beijing.aliyuncs.com/kaoyan/2026/05/14/09d9417cf1ed4819a8ec6bbd8f4f13c3.png；卡方2026录取名单专辑交叉验证：录取线331/ 376/333/352 | 2026年山东大学公布拟录取名单21+2+1+2人 https://mp.weixin.qq.com/s?__biz=MzIxNTM0MjQ3OA==&amp;mid=2247511773&amp;idx=5&amp;sn=63f552a52d535404573058696ce27f40&amp;chksm=979b223ca0ecab2a6a84c985abf86ce7a027bd2a25adf4c89fb40572590274476d3c66e4807e#rd</t>
  </si>
  <si>
    <t>就现在考研小程序院校模块（2026-08-14读取）：https://admin.jiuxianzai.cn/api/applet/home/index/schoolDetail/c7e895b74699dc0627195a1b12f880fd；经人数与最低录取线校验的名单图：https://jiuxianzai.oss-cn-beijing.aliyuncs.com/kaoyan/2022/04/17/d897fa7c80164875bcd166f85066337f.png</t>
  </si>
  <si>
    <t>就现在考研小程序院校模块（2026-08-14读取）：https://admin.jiuxianzai.cn/api/applet/home/index/schoolDetail/c7e895b74699dc0627195a1b12f880fd</t>
  </si>
  <si>
    <t>就现在考研小程序院校模块（2026-08-14读取）：https://admin.jiuxianzai.cn/api/applet/home/index/schoolDetail/c7e895b74699dc0627195a1b12f880fd；经人数与最低录取线校验的名单图：https://jiuxianzai.oss-cn-beijing.aliyuncs.com/kaoyan/2024/04/08/ab20328b844b42918396250f504d2296.png</t>
  </si>
  <si>
    <t>就现在考研小程序院校模块（2026-08-14读取）：https://admin.jiuxianzai.cn/api/applet/home/index/schoolDetail/c7e895b74699dc0627195a1b12f880fd；卡方2026录取名单专辑交叉验证：录取线333 | 2026年武汉大学应用统计公布拟录取名单13+1+1人 https://mp.weixin.qq.com/s?__biz=MzIxNTM0MjQ3OA==&amp;mid=2247511562&amp;idx=3&amp;sn=0ca108d7943813df177d2ac6f4e79388&amp;chksm=979b22eba0ecabfd1f4ddea87f849d4ac7cdc110a3f6518d7bd51fc5dd6ed09fd4aa12ad5011#rd；统计战线小程序2026名单图逐页复核，并与卡方文章标题‘13+1+1人’闭合：普通计划13人全部拟录取，另有少干、士兵专项各1人；普通计划初试最低346、中位382、最高411，复试13/录取13。专项不混入普通计划分布。</t>
  </si>
  <si>
    <t>就现在考研小程序院校模块（2026-08-14读取）：https://admin.jiuxianzai.cn/api/applet/home/index/schoolDetail/3948f82c1aa2c4e3379718fb0f208377</t>
  </si>
  <si>
    <t>就现在考研小程序院校模块（2026-08-14读取）：https://admin.jiuxianzai.cn/api/applet/home/index/schoolDetail/3948f82c1aa2c4e3379718fb0f208377；经人数与最低录取线校验的名单图：https://jiuxianzai.oss-cn-beijing.aliyuncs.com/kaoyan/2024/04/09/01f3cbbf4f9047bb9f16ae14cb4d50b3.png</t>
  </si>
  <si>
    <t>就现在考研小程序院校模块（2026-08-14读取）：https://admin.jiuxianzai.cn/api/applet/home/index/schoolDetail/3948f82c1aa2c4e3379718fb0f208377；经人数与最低录取线校验的名单图：https://jiuxianzai.oss-cn-beijing.aliyuncs.com/kaoyan/2025/04/15/54c119553e26427eb9e7ae3389938342.png</t>
  </si>
  <si>
    <t>就现在考研小程序院校模块（2026-08-14读取）：https://admin.jiuxianzai.cn/api/applet/home/index/schoolDetail/3948f82c1aa2c4e3379718fb0f208377；经人数与最低录取线校验的名单图：https://jiuxianzai.oss-cn-beijing.aliyuncs.com/kaoyan/2026/05/15/35a6c75331ae467abbd27bdf569d65bf.png；卡方2026录取名单专辑交叉验证：等额录取，录取线327 | 2026年太原理工大学公布拟录取名单11人 https://mp.weixin.qq.com/s?__biz=MzIxNTM0MjQ3OA==&amp;mid=2247511601&amp;idx=6&amp;sn=ce36d4b3aa0abe79c25a363de3b55a7f&amp;chksm=979b22d0a0ecabc6abf49a065568802d2e474f6a8230ef69b3120753cc6aac9990609a01ad0a#rd</t>
  </si>
  <si>
    <t>就现在考研小程序院校模块（2026-08-14读取）：https://admin.jiuxianzai.cn/api/applet/home/index/schoolDetail/015e45aa720f0d941241bec22327ed9d; https://admin.jiuxianzai.cn/api/applet/home/index/schoolDetail/7d3e0fe1601b71a518a0bd16b951f135; https://admin.jiuxianzai.cn/api/applet/home/index/schoolDetail/ab3b483738ca750788aaef4042e1b656</t>
  </si>
  <si>
    <t>365（小程序院校模块；待官网复核）</t>
    <phoneticPr fontId="9" type="noConversion"/>
  </si>
  <si>
    <t>主流机构小程序</t>
    <phoneticPr fontId="9" type="noConversion"/>
  </si>
  <si>
    <t>就现在考研小程序院校模块（2026-08-14读取）：https://admin.jiuxianzai.cn/api/applet/home/index/schoolDetail/015e45aa720f0d941241bec22327ed9d; https://admin.jiuxianzai.cn/api/applet/home/index/schoolDetail/7d3e0fe1601b71a518a0bd16b951f135; https://admin.jiuxianzai.cn/api/applet/home/index/schoolDetail/ab3b483738ca750788aaef4042e1b656；经人数与最低录取线校验的名单图：https://jiuxianzai.oss-cn-beijing.aliyuncs.com/kaoyan/2024/05/30/a729756b39804560800586041d60c15c.png; https://jiuxianzai.oss-cn-beijing.aliyuncs.com/kaoyan/2024/04/14/c265178b373e45ca875f9ef1cce5cb94.png; https://jiuxianzai.oss-cn-beijing.aliyuncs.com/kaoyan/2024/04/14/699939875f3042cc8225ff85a22f2ea7.png</t>
  </si>
  <si>
    <t>https://www.sjds.net/a/462113.html | 机构页称复试比例1:1.2；学院/方向口径需官网复核；就现在考研小程序院校模块（2026-08-14读取）：https://admin.jiuxianzai.cn/api/applet/home/index/schoolDetail/015e45aa720f0d941241bec22327ed9d; https://admin.jiuxianzai.cn/api/applet/home/index/schoolDetail/7d3e0fe1601b71a518a0bd16b951f135; https://admin.jiuxianzai.cn/api/applet/home/index/schoolDetail/ab3b483738ca750788aaef4042e1b656</t>
    <phoneticPr fontId="9" type="noConversion"/>
  </si>
  <si>
    <t>就现在考研小程序院校模块（2026-08-14读取）：https://admin.jiuxianzai.cn/api/applet/home/index/schoolDetail/015e45aa720f0d941241bec22327ed9d; https://admin.jiuxianzai.cn/api/applet/home/index/schoolDetail/7d3e0fe1601b71a518a0bd16b951f135; https://admin.jiuxianzai.cn/api/applet/home/index/schoolDetail/ab3b483738ca750788aaef4042e1b656；经人数与最低录取线校验的名单图：https://jiuxianzai.oss-cn-beijing.aliyuncs.com/kaoyan/2026/05/15/da7b1b86fb01406b9cc6d767844201fa.png; https://jiuxianzai.oss-cn-beijing.aliyuncs.com/kaoyan/2026/05/15/036bfff27b8b44778020bff05673062a.png; https://jiuxianzai.oss-cn-beijing.aliyuncs.com/kaoyan/2026/05/15/a0983a889afe4180b526b7901d2109de.png；卡方2026录取名单专辑交叉验证：录取线364/355/336 | 2026年上海财经大学公布拟录取名单21+73+3人 https://mp.weixin.qq.com/s?__biz=MzIxNTM0MjQ3OA==&amp;mid=2247511601&amp;idx=1&amp;sn=9ce15ac7abf2db731c14affc443db961&amp;chksm=979b22d0a0ecabc64efe690968b18861c6a4ce0ba19bf2dffa7e5ffa8512c6d5dedb0dff9d6d#rd</t>
  </si>
  <si>
    <t>就现在考研小程序院校模块（2026-08-14读取）：https://admin.jiuxianzai.cn/api/applet/home/index/schoolDetail/691263c169077ceca3f9203b6d406912</t>
  </si>
  <si>
    <t>就现在考研小程序院校模块（2026-08-14读取）：https://admin.jiuxianzai.cn/api/applet/home/index/schoolDetail/691263c169077ceca3f9203b6d406912；卡方2026录取名单专辑交叉验证：录取线358 | 2026年西南财经大学公布拟录取名单71+1+3人 https://mp.weixin.qq.com/s?__biz=MzIxNTM0MjQ3OA==&amp;mid=2247511468&amp;idx=2&amp;sn=f9e80ec3fc980fa6d3944d10de6362c7&amp;chksm=979b214da0eca85b8adb60257baed822ccaf46c3a8a7e49af92a8914ceb1979eb6065504c5f3#rd；统计战线小程序2026复试名单图人工下滑复核：绿色为未拟录取；与卡方标题71+1+3人闭合。分布及复录比按普通计划71人/88人，剔除1名少干和3名士兵专项。</t>
  </si>
  <si>
    <t>就现在考研小程序院校模块（2026-08-14读取）：https://admin.jiuxianzai.cn/api/applet/home/index/schoolDetail/fe36c96441cd999fad75f7403840a58a</t>
  </si>
  <si>
    <t>就现在考研小程序院校模块（2026-08-14读取）：https://admin.jiuxianzai.cn/api/applet/home/index/schoolDetail/fe36c96441cd999fad75f7403840a58a；卡方2026录取名单专辑交叉验证：录取线369 | 2026年中央财经大学公布拟录取名单62+1人 https://mp.weixin.qq.com/s?__biz=MzIxNTM0MjQ3OA==&amp;mid=2247511820&amp;idx=4&amp;sn=064af89b901c53f4420ed740246c1873&amp;chksm=979b23eda0ecaafb2edf9aa506cce714882e77776adb5ea06394f1a619473179e06dfbdfc998#rd；统计战线小程序2026复试名单图人工下滑复核：绿色为未拟录取；与卡方标题62+1人闭合。分布及复录比按普通计划62人/85人，剔除1名士兵专项。</t>
  </si>
  <si>
    <t>就现在考研小程序院校模块（2026-08-14读取）：https://admin.jiuxianzai.cn/api/applet/home/index/schoolDetail/315b5d1f12b9b6f9aa49d359169ff96c</t>
  </si>
  <si>
    <t>就现在考研小程序院校模块（2026-08-14读取）：https://admin.jiuxianzai.cn/api/applet/home/index/schoolDetail/315b5d1f12b9b6f9aa49d359169ff96c；经人数与最低录取线校验的名单图：https://jiuxianzai.oss-cn-beijing.aliyuncs.com/kaoyan/2024/04/08/1a7bc4c94a1c4b6b8d533d123e6cf870.png</t>
  </si>
  <si>
    <t>就现在考研小程序院校模块（2026-08-14读取）：https://admin.jiuxianzai.cn/api/applet/home/index/schoolDetail/4f4327be5131d059f282fa1dc5bc439d</t>
  </si>
  <si>
    <t>370（小程序院校模块；待官网复核）</t>
    <phoneticPr fontId="9" type="noConversion"/>
  </si>
  <si>
    <t>就现在考研小程序院校模块（2026-08-14读取）：https://admin.jiuxianzai.cn/api/applet/home/index/schoolDetail/4f4327be5131d059f282fa1dc5bc439d；经人数与最低录取线校验的名单图：https://jiuxianzai.oss-cn-beijing.aliyuncs.com/kaoyan/2026/05/15/ee713d3dc33c461dadb906e500537580.png；卡方2026录取名单专辑交叉验证：录取线373 | 2026年对外经济贸易大学公布拟录取名单59+1人 https://mp.weixin.qq.com/s?__biz=MzIxNTM0MjQ3OA==&amp;mid=2247511468&amp;idx=1&amp;sn=e964b91ef926344b88787e2e7d1b66d2&amp;chksm=979b214da0eca85bdacfdf3eb4aecff3a5f95456a34ff68c49f343fe0017cef2748605e32587#rd</t>
  </si>
  <si>
    <t>就现在考研小程序院校模块（2026-08-14读取）：https://admin.jiuxianzai.cn/api/applet/home/index/schoolDetail/9d0219b2df1e6de3dabed25b7cbbf267</t>
  </si>
  <si>
    <t>就现在考研小程序院校模块（2026-08-14读取）：https://admin.jiuxianzai.cn/api/applet/home/index/schoolDetail/9d0219b2df1e6de3dabed25b7cbbf267；卡方2026录取名单专辑交叉验证：刷掉近一半人，录取线404 | 2026年同济大学公布拟录取名单29+1人 https://mp.weixin.qq.com/s?__biz=MzIxNTM0MjQ3OA==&amp;mid=2247512064&amp;idx=2&amp;sn=cdb6a640abcf31dc3f767d502f80ebf1&amp;chksm=979b3ce1a0ecb5f75c54dc36a6bbf01f2a68b0874f3c2639cec8750d0e25a1330fce2c7fa0c6#rd；统计战线小程序2026复试名单图人工下滑复核：绿色为未拟录取；与卡方标题29+1人闭合。分布及复录比按普通计划29人/55人，剔除1名专项计划。</t>
  </si>
  <si>
    <t>就现在考研小程序院校模块（2026-08-14读取）：https://admin.jiuxianzai.cn/api/applet/home/index/schoolDetail/15dc051e0442d52a5bea9583661c8e9a</t>
  </si>
  <si>
    <t>382（小程序院校模块；待官网复核）</t>
    <phoneticPr fontId="9" type="noConversion"/>
  </si>
  <si>
    <t>https://tsxy.zuel.edu.cn/_upload/article/files/15/fa/e5c1c0e24e4190959c6705735842/2b97dccb-1810-4a22-befa-d8a3bced99b9.pdf | 拟录取公示不等于完整复试名单，故不计算复录比；就现在考研小程序院校模块（2026-08-14读取）：https://admin.jiuxianzai.cn/api/applet/home/index/schoolDetail/15dc051e0442d52a5bea9583661c8e9a</t>
    <phoneticPr fontId="9" type="noConversion"/>
  </si>
  <si>
    <t>就现在考研小程序院校模块（2026-08-14读取）：https://admin.jiuxianzai.cn/api/applet/home/index/schoolDetail/15dc051e0442d52a5bea9583661c8e9a；卡方2026录取名单专辑交叉验证：录取线358 | 2026年中南财经政法大学公布拟录取名单152+1人 https://mp.weixin.qq.com/s?__biz=MzIxNTM0MjQ3OA==&amp;mid=2247511448&amp;idx=2&amp;sn=d1dc7fc0f130a6c1533129c3b1850157&amp;chksm=979b2179a0eca86f4602ff049b9ba6194377485d78cce34e59b15397414809541d3a3dfe2b0d#rd；补录2人，录取线358 | 2026年中南财经政法大学公布拟录取名单154+1人 https://mp.weixin.qq.com/s?__biz=MzIxNTM0MjQ3OA==&amp;mid=2247511601&amp;idx=5&amp;sn=51e644ab0f1dc818417a0d0b9ef10a48&amp;chksm=979b22d0a0ecabc6c3a56b9c45b9dc9323671abc5fbfc00ad5650ba3c6c6a87c40d58c449af1#rd；统计战线小程序补录后2026名单图逐页复核：共200行，绿色45人为未拟录取，白色155人含专项1人；普通计划154人拟录取、199人复试，初试最低358、中位381、最高426。与卡方初次‘152+1人’及后续补录2人文章闭合。</t>
  </si>
  <si>
    <t>就现在考研小程序院校模块（2026-08-14读取）：https://admin.jiuxianzai.cn/api/applet/home/index/schoolDetail/d0c418722a51b2fca15de22b27b1256f</t>
  </si>
  <si>
    <t>就现在考研小程序院校模块（2026-08-14读取）：https://admin.jiuxianzai.cn/api/applet/home/index/schoolDetail/edd0951fcbacf51a7ff0beb53e1d7bb6</t>
  </si>
  <si>
    <t>350（小程序院校模块；待官网复核）</t>
    <phoneticPr fontId="9" type="noConversion"/>
  </si>
  <si>
    <t>就现在考研小程序院校模块（2026-08-14读取）：https://admin.jiuxianzai.cn/api/applet/home/index/schoolDetail/edd0951fcbacf51a7ff0beb53e1d7bb6；经人数与最低录取线校验的名单图：https://jiuxianzai.oss-cn-beijing.aliyuncs.com/kaoyan/2023/04/13/3ec631639cf54d09a119b88a7e133f50.png</t>
  </si>
  <si>
    <t>就现在考研小程序院校模块（2026-08-14读取）：https://admin.jiuxianzai.cn/api/applet/home/index/schoolDetail/edd0951fcbacf51a7ff0beb53e1d7bb6；经人数与最低录取线校验的名单图：https://jiuxianzai.oss-cn-beijing.aliyuncs.com/kaoyan/2024/04/08/548b92030b0d40cda31281312b06ee4a.png</t>
  </si>
  <si>
    <t>就现在考研小程序院校模块（2026-08-14读取）：https://admin.jiuxianzai.cn/api/applet/home/index/schoolDetail/edd0951fcbacf51a7ff0beb53e1d7bb6；经人数与最低录取线校验的名单图：https://jiuxianzai.oss-cn-beijing.aliyuncs.com/kaoyan/2025/04/07/af9d9dbab8cc43e882de93c13b60cac2.png</t>
  </si>
  <si>
    <t>就现在考研小程序院校模块（2026-08-14读取）：https://admin.jiuxianzai.cn/api/applet/home/index/schoolDetail/edd0951fcbacf51a7ff0beb53e1d7bb6；经人数与最低录取线校验的名单图：https://jiuxianzai.oss-cn-beijing.aliyuncs.com/kaoyan/2026/05/15/3b79b2b49f95474eaf029356090b32c8.png；卡方2026录取名单专辑交叉验证：录取线355 | 2026年西安电子科技大学公布拟录取名单14人 https://mp.weixin.qq.com/s?__biz=MzIxNTM0MjQ3OA==&amp;mid=2247511797&amp;idx=5&amp;sn=af6b9ebaf6c56bf7addf872ed1e3297d&amp;chksm=979b2214a0ecab029b5fb53fc9d2ba49c39058738526d5906c792feab664361f00e79e825b50#rd</t>
  </si>
  <si>
    <t>就现在考研小程序院校模块（2026-08-14读取）：https://admin.jiuxianzai.cn/api/applet/home/index/schoolDetail/2b58f55deece68282b844fa2fac2392c</t>
  </si>
  <si>
    <t>就现在考研小程序院校模块（2026-08-14读取）：https://admin.jiuxianzai.cn/api/applet/home/index/schoolDetail/2b58f55deece68282b844fa2fac2392c；经人数与最低录取线校验的名单图：https://jiuxianzai.oss-cn-beijing.aliyuncs.com/kaoyan/2026/05/15/fc3539f85ef94f4091bca6192151dab1.png；卡方2026录取名单专辑交叉验证：录取线395 | 2026年南京航空航天大学公布拟录取名单22人 https://mp.weixin.qq.com/s?__biz=MzIxNTM0MjQ3OA==&amp;mid=2247511628&amp;idx=7&amp;sn=73629b73fff94808bb2a20eacfce5c45&amp;chksm=979b22ada0ecabbb6ed8eca7ab78159f6980347a6491cf474469110640bdd9ccf8f3deb6c365#rd</t>
  </si>
  <si>
    <t>就现在考研小程序院校模块（2026-08-14读取）：https://admin.jiuxianzai.cn/api/applet/home/index/schoolDetail/ae931260258484511d053532c733784f</t>
  </si>
  <si>
    <t>就现在考研小程序院校模块（2026-08-14读取）：https://admin.jiuxianzai.cn/api/applet/home/index/schoolDetail/ae931260258484511d053532c733784f；经人数与最低录取线校验的名单图：https://jiuxianzai.oss-cn-beijing.aliyuncs.com/kaoyan/2025/04/07/4f68528b4a514ab597012731b8f12540.png</t>
  </si>
  <si>
    <t>就现在考研小程序院校模块（2026-08-14读取）：https://admin.jiuxianzai.cn/api/applet/home/index/schoolDetail/ae931260258484511d053532c733784f；经人数与最低录取线校验的名单图：https://jiuxianzai.oss-cn-beijing.aliyuncs.com/kaoyan/2026/05/15/92525064c0d046f09a20b71e3302cfa3.png；卡方2026录取名单专辑交叉验证：录取线375 | 2026年南京理工大学公布拟录取名单15人 https://mp.weixin.qq.com/s?__biz=MzIxNTM0MjQ3OA==&amp;mid=2247511628&amp;idx=5&amp;sn=b980a376fc17b4897bcb0492fd557ae3&amp;chksm=979b22ada0ecabbbcca8b9596b9704078f2acf7e3534f20126098e85080a4953b141f98852b6#rd</t>
  </si>
  <si>
    <t>就现在考研小程序院校模块（2026-08-14读取）：https://admin.jiuxianzai.cn/api/applet/home/index/schoolDetail/85d797959ef51e37f8b19e0d8c60d4a2</t>
  </si>
  <si>
    <t>388（小程序院校模块；待官网复核）</t>
    <phoneticPr fontId="9" type="noConversion"/>
  </si>
  <si>
    <t>就现在考研小程序院校模块（2026-08-14读取）：https://admin.jiuxianzai.cn/api/applet/home/index/schoolDetail/85d797959ef51e37f8b19e0d8c60d4a2；经人数与最低录取线校验的名单图：https://jiuxianzai.oss-cn-beijing.aliyuncs.com/kaoyan/2026/05/14/42898c0fa4a54ea0a37e76f95f5243c9.png；卡方2026录取名单专辑交叉验证：录取线398 | 2026年中国海洋大学公布拟录取名单11人 https://mp.weixin.qq.com/s?__biz=MzIxNTM0MjQ3OA==&amp;mid=2247512232&amp;idx=4&amp;sn=90f61f8aba37c805edde9ae2d6ce29ed&amp;chksm=979b3c49a0ecb55fadc226086a0eb6e8a2b60b661de2005e55a21eb1a63d7d9da69913fc8413#rd</t>
  </si>
  <si>
    <t>就现在考研小程序院校模块（2026-08-14读取）：https://admin.jiuxianzai.cn/api/applet/home/index/schoolDetail/6b02702b49711b202869e23d1d26ff6e; https://admin.jiuxianzai.cn/api/applet/home/index/schoolDetail/f72997260b3ef04000cb9ddfb7770a97</t>
  </si>
  <si>
    <t>389（小程序院校模块；待官网复核）</t>
    <phoneticPr fontId="9" type="noConversion"/>
  </si>
  <si>
    <t>就现在考研小程序院校模块（2026-08-14读取）：https://admin.jiuxianzai.cn/api/applet/home/index/schoolDetail/6b02702b49711b202869e23d1d26ff6e; https://admin.jiuxianzai.cn/api/applet/home/index/schoolDetail/f72997260b3ef04000cb9ddfb7770a97；经人数与最低录取线校验的名单图：https://jiuxianzai.oss-cn-beijing.aliyuncs.com/kaoyan/2025/04/07/8fe18e9400174ff187343625f9b988ad.png; https://jiuxianzai.oss-cn-beijing.aliyuncs.com/kaoyan/2025/04/07/8c469c75027045059d8ed2a78abd8290.png</t>
  </si>
  <si>
    <t>就现在考研小程序院校模块（2026-08-14读取）：https://admin.jiuxianzai.cn/api/applet/home/index/schoolDetail/6b02702b49711b202869e23d1d26ff6e; https://admin.jiuxianzai.cn/api/applet/home/index/schoolDetail/f72997260b3ef04000cb9ddfb7770a97；卡方2026录取名单专辑交叉验证：录取线380/379 | 2026年暨南大学公布拟录取名单28+1+8+1人 https://mp.weixin.qq.com/s?__biz=MzIxNTM0MjQ3OA==&amp;mid=2247511628&amp;idx=1&amp;sn=39f530107afdc0350a6ad9a97eb9c4e6&amp;chksm=979b22ada0ecabbb728280d965aa785c04e8f402d54fdde500493393b3e6fa6b869775918cd4#rd；统计战线小程序2026两学院复试名单图人工下滑复核：绿色为未拟录取；与卡方标题28+1+8+1人闭合。普通计划合并为36人拟录取、54人复试，剔除两学院各1名专项；合并初试分中位数399.5。</t>
  </si>
  <si>
    <t>就现在考研小程序院校模块（2026-08-14读取）：https://admin.jiuxianzai.cn/api/applet/home/index/schoolDetail/d1d6767608d408762929304f63c0733b; https://admin.jiuxianzai.cn/api/applet/home/index/schoolDetail/dbf27b8a0774351d1331669012b466b9</t>
  </si>
  <si>
    <t>就现在考研小程序院校模块（2026-08-14读取）：https://admin.jiuxianzai.cn/api/applet/home/index/schoolDetail/d1d6767608d408762929304f63c0733b; https://admin.jiuxianzai.cn/api/applet/home/index/schoolDetail/dbf27b8a0774351d1331669012b466b9；经人数与最低录取线校验的名单图：https://jiuxianzai.oss-cn-beijing.aliyuncs.com/kaoyan/2023/04/13/c9f5d29cd80749009aa8dc3d17c77c5d.png</t>
  </si>
  <si>
    <t>就现在考研小程序院校模块（2026-08-14读取）：https://admin.jiuxianzai.cn/api/applet/home/index/schoolDetail/d1d6767608d408762929304f63c0733b; https://admin.jiuxianzai.cn/api/applet/home/index/schoolDetail/dbf27b8a0774351d1331669012b466b9；经人数与最低录取线校验的名单图：https://jiuxianzai.oss-cn-beijing.aliyuncs.com/kaoyan/2024/05/02/78d5e5c4d465401c906e7ca9557c2f12.png</t>
  </si>
  <si>
    <t>就现在考研小程序院校模块（2026-08-14读取）：https://admin.jiuxianzai.cn/api/applet/home/index/schoolDetail/d1d6767608d408762929304f63c0733b; https://admin.jiuxianzai.cn/api/applet/home/index/schoolDetail/dbf27b8a0774351d1331669012b466b9；经人数与最低录取线校验的名单图：https://jiuxianzai.oss-cn-beijing.aliyuncs.com/kaoyan/2025/04/07/518514f16bf84c29941b45221224dc62.png</t>
  </si>
  <si>
    <t>就现在考研小程序院校模块（2026-08-14读取）：https://admin.jiuxianzai.cn/api/applet/home/index/schoolDetail/d1d6767608d408762929304f63c0733b; https://admin.jiuxianzai.cn/api/applet/home/index/schoolDetail/dbf27b8a0774351d1331669012b466b9；经人数与最低录取线校验的名单图：https://jiuxianzai.oss-cn-beijing.aliyuncs.com/kaoyan/2026/05/15/4ab0892d109e4f3ca3b3acc2c41a7b92.png; https://jiuxianzai.oss-cn-beijing.aliyuncs.com/kaoyan/2026/05/15/a2b6564a5de142f2a0e9fe90da8ef8d5.png；卡方2026录取名单专辑交叉验证：录取线392/345 | 2026年北京交通大学公布拟录取名单12+5人 https://mp.weixin.qq.com/s?__biz=MzIxNTM0MjQ3OA==&amp;mid=2247511756&amp;idx=5&amp;sn=2fee7fb4f73b19ea8caac71e207b686c&amp;chksm=979b222da0ecab3b36779ddf92b05be4452cd239d8a980cbfa8d0e61cd5225c2c209599e0e57#rd</t>
  </si>
  <si>
    <t>就现在考研小程序院校模块（2026-08-14读取）：https://admin.jiuxianzai.cn/api/applet/home/index/schoolDetail/cc2b50dd21eaca2ad3ccd55113c61f2d</t>
  </si>
  <si>
    <t>就现在考研小程序院校模块（2026-08-14读取）：https://admin.jiuxianzai.cn/api/applet/home/index/schoolDetail/cc2b50dd21eaca2ad3ccd55113c61f2d；经人数与最低录取线校验的名单图：https://jiuxianzai.oss-cn-beijing.aliyuncs.com/kaoyan/2025/04/07/9293c8bf7b364591aa57469f9ca85e7d.png</t>
  </si>
  <si>
    <t>就现在考研小程序院校模块（2026-08-14读取）：https://admin.jiuxianzai.cn/api/applet/home/index/schoolDetail/cc2b50dd21eaca2ad3ccd55113c61f2d；卡方2026录取名单专辑交叉验证：录取线365 | 2026年华东理工大学公布拟录取名单27人 https://mp.weixin.qq.com/s?__biz=MzIxNTM0MjQ3OA==&amp;mid=2247511476&amp;idx=1&amp;sn=5ad0c77d2a9c1d582fbb5ecf75a9ec06&amp;chksm=979b2155a0eca8436175e7ebb6b6b3f4d5716a96d363648e88a10f77e86bce64e901e7b6b9ee#rd；补录1人，录取线361 | 2026年华东理工大学公布拟录取名单28人 https://mp.weixin.qq.com/s?__biz=MzIxNTM0MjQ3OA==&amp;mid=2247511601&amp;idx=4&amp;sn=ab979176b81f2c6abf60d2ef48c5c463&amp;chksm=979b22d0a0ecabc6f52cc1b741aff8147aca6b857cdcafd5fa9957e0e513926db22a9738511c#rd；统计战线小程序2026复试名单图人工下滑复核：绿色为未拟录取；补录后28人名单与卡方补录文章闭合，初试分最低361、中位386.5、最高433。</t>
  </si>
  <si>
    <t>就现在考研小程序院校模块（2026-08-14读取）：https://admin.jiuxianzai.cn/api/applet/home/index/schoolDetail/279ec5f38ebc13befec919b109d88090; https://admin.jiuxianzai.cn/api/applet/home/index/schoolDetail/b169b986c5cf0c1b64358396395ed2da</t>
  </si>
  <si>
    <t>就现在考研小程序院校模块（2026-08-14读取）：https://admin.jiuxianzai.cn/api/applet/home/index/schoolDetail/279ec5f38ebc13befec919b109d88090; https://admin.jiuxianzai.cn/api/applet/home/index/schoolDetail/b169b986c5cf0c1b64358396395ed2da；卡方2026录取名单专辑交叉验证：捡漏，录取线359/341 | 2026年上海大学公布拟录取名单3+10人 https://mp.weixin.qq.com/s?__biz=MzIxNTM0MjQ3OA==&amp;mid=2247512134&amp;idx=4&amp;sn=d732354f7920be9a2297f3c2f1dbf2e6&amp;chksm=979b3ca7a0ecb5b19ae4eca79b4f205e96bea3ca5e484c91925cd64c7c30c38deca197fdbe7c#rd；统计战线小程序2026名单图人工下滑复核：经济学院拟录取名单3人与理学院拟录取10人合并，和卡方标题3+10人闭合；合并初试分最低341、中位359、最高399。经济学院完整复试名单未取得，故全校复试人数及复录比留空，不再以理学院13人冒充全校复试人数。</t>
  </si>
  <si>
    <t>就现在考研小程序院校模块（2026-08-14读取）：https://admin.jiuxianzai.cn/api/applet/home/index/schoolDetail/da0b27311237c18eee5b89aae943b658；经人数与最低录取线校验的名单图：https://jiuxianzai.oss-cn-beijing.aliyuncs.com/kaoyan/2022/04/18/0387ee5c43be409fa9b2a41e499549fe.png</t>
  </si>
  <si>
    <t>364（小程序院校模块；待官网复核）</t>
    <phoneticPr fontId="9" type="noConversion"/>
  </si>
  <si>
    <t>就现在考研小程序院校模块（2026-08-14读取）：https://admin.jiuxianzai.cn/api/applet/home/index/schoolDetail/da0b27311237c18eee5b89aae943b658</t>
  </si>
  <si>
    <t>就现在考研小程序院校模块（2026-08-14读取）：https://admin.jiuxianzai.cn/api/applet/home/index/schoolDetail/da0b27311237c18eee5b89aae943b658；经人数与最低录取线校验的名单图：https://jiuxianzai.oss-cn-beijing.aliyuncs.com/kaoyan/2024/04/08/6cd0b1336f3149efa929647c10ebf5fa.png</t>
  </si>
  <si>
    <t>就现在考研小程序院校模块（2026-08-14读取）：https://admin.jiuxianzai.cn/api/applet/home/index/schoolDetail/da0b27311237c18eee5b89aae943b658；经人数与最低录取线校验的名单图：https://jiuxianzai.oss-cn-beijing.aliyuncs.com/kaoyan/2025/04/07/a91c4affade34593a8a96f7560f723c5.png</t>
  </si>
  <si>
    <t>就现在考研小程序院校模块（2026-08-14读取）：https://admin.jiuxianzai.cn/api/applet/home/index/schoolDetail/da0b27311237c18eee5b89aae943b658；经人数与最低录取线校验的名单图：https://jiuxianzai.oss-cn-beijing.aliyuncs.com/kaoyan/2026/05/15/c3491e2bcacc445cbe8e8ada04f1293b.png；卡方2026录取名单专辑交叉验证：录取线381 | 2026年苏州大学公布拟录取名单19人 https://mp.weixin.qq.com/s?__biz=MzIxNTM0MjQ3OA==&amp;mid=2247511444&amp;idx=2&amp;sn=c320eac9c58b115cc8b15ce8e7004039&amp;chksm=979b2175a0eca863b53e9f895dc73ef320c489c5556d7d9503355d1a51c1a42caaff5e9dd7f3#rd</t>
  </si>
  <si>
    <t>就现在考研小程序院校模块（2026-08-14读取）：https://admin.jiuxianzai.cn/api/applet/home/index/schoolDetail/56e3e5a6404fb8ba192e3d891bfdfc35; https://admin.jiuxianzai.cn/api/applet/home/index/schoolDetail/7affba1152da17a8ed22186d16b81af0</t>
  </si>
  <si>
    <t>346（小程序院校模块；待官网复核）</t>
    <phoneticPr fontId="9" type="noConversion"/>
  </si>
  <si>
    <t>就现在考研小程序院校模块（2026-08-14读取）：https://admin.jiuxianzai.cn/api/applet/home/index/schoolDetail/56e3e5a6404fb8ba192e3d891bfdfc35; https://admin.jiuxianzai.cn/api/applet/home/index/schoolDetail/7affba1152da17a8ed22186d16b81af0；经人数与最低录取线校验的名单图：https://jiuxianzai.oss-cn-beijing.aliyuncs.com/kaoyan/2025/04/07/c1ced377a446479eac60ff59037430af.png</t>
  </si>
  <si>
    <t>就现在考研小程序院校模块（2026-08-14读取）：https://admin.jiuxianzai.cn/api/applet/home/index/schoolDetail/56e3e5a6404fb8ba192e3d891bfdfc35; https://admin.jiuxianzai.cn/api/applet/home/index/schoolDetail/7affba1152da17a8ed22186d16b81af0；经人数与最低录取线校验的名单图：https://jiuxianzai.oss-cn-beijing.aliyuncs.com/kaoyan/2026/05/15/10a91af297604e30bcdcceb6827ff524.png; https://jiuxianzai.oss-cn-beijing.aliyuncs.com/kaoyan/2026/05/15/d9d3818205ba4522939fb2198769bca4.png；卡方2026录取名单专辑交叉验证：收调剂！录取线374/357 | 2026年河海大学公布拟录取名单22+1人 https://mp.weixin.qq.com/s?__biz=MzIxNTM0MjQ3OA==&amp;mid=2247511519&amp;idx=5&amp;sn=9ac97471cf0491b2d0f9d6aed5f7ed09&amp;chksm=979b213ea0eca828221026b55a83fd6939c86629dc6aba2fe31486c87794870e7e201ef28917#rd</t>
  </si>
  <si>
    <t>就现在考研小程序院校模块（2026-08-14读取）：https://admin.jiuxianzai.cn/api/applet/home/index/schoolDetail/34523f809ded9c102849ecd909fd0bf8; https://admin.jiuxianzai.cn/api/applet/home/index/schoolDetail/f9cac867d6bbe20bb29d70cb87d0e136</t>
  </si>
  <si>
    <t>379（小程序院校模块；待官网复核）</t>
    <phoneticPr fontId="9" type="noConversion"/>
  </si>
  <si>
    <t>就现在考研小程序院校模块（2026-08-14读取）：https://admin.jiuxianzai.cn/api/applet/home/index/schoolDetail/34523f809ded9c102849ecd909fd0bf8; https://admin.jiuxianzai.cn/api/applet/home/index/schoolDetail/f9cac867d6bbe20bb29d70cb87d0e136；经人数与最低录取线校验的名单图：https://jiuxianzai.oss-cn-beijing.aliyuncs.com/kaoyan/2024/04/18/f3c97ea9b06b402aa73e3adaa699e1e5.png; https://jiuxianzai.oss-cn-beijing.aliyuncs.com/kaoyan/2024/04/18/538db8e868f14f708d27fc9c888715b8.png</t>
  </si>
  <si>
    <t>就现在考研小程序院校模块（2026-08-14读取）：https://admin.jiuxianzai.cn/api/applet/home/index/schoolDetail/34523f809ded9c102849ecd909fd0bf8; https://admin.jiuxianzai.cn/api/applet/home/index/schoolDetail/f9cac867d6bbe20bb29d70cb87d0e136；经人数与最低录取线校验的名单图：https://jiuxianzai.oss-cn-beijing.aliyuncs.com/kaoyan/2026/05/15/813d991d399d4854b68e49c37f215e21.png; https://jiuxianzai.oss-cn-beijing.aliyuncs.com/kaoyan/2026/05/15/8a3d1f898dde4514bdb4ef8379652faa.png；卡方2026录取名单专辑交叉验证：性价比之选，录取线363/359 | 2026年武汉理工大学公布拟录取名单37+17人 https://mp.weixin.qq.com/s?__biz=MzIxNTM0MjQ3OA==&amp;mid=2247512220&amp;idx=5&amp;sn=4857edea9d97fefff70e816d3d4f2e55&amp;chksm=979b3c7da0ecb56bd9b8d2521257c4f73e0092d1416435aece4472cf047b4c09df66304c9cc0#rd</t>
  </si>
  <si>
    <t>就现在考研小程序院校模块（2026-08-14读取）：https://admin.jiuxianzai.cn/api/applet/home/index/schoolDetail/2212e87b996ebd666f9b3f7545fd1e44</t>
  </si>
  <si>
    <t>360（小程序院校模块；待官网复核）</t>
    <phoneticPr fontId="9" type="noConversion"/>
  </si>
  <si>
    <t>就现在考研小程序院校模块（2026-08-14读取）：https://admin.jiuxianzai.cn/api/applet/home/index/schoolDetail/2212e87b996ebd666f9b3f7545fd1e44；经人数与最低录取线校验的名单图：https://jiuxianzai.oss-cn-beijing.aliyuncs.com/kaoyan/2025/10/09/493c0cb2fdc24af78d8a6217259f6347.png</t>
  </si>
  <si>
    <t>就现在考研小程序院校模块（2026-08-14读取）：https://admin.jiuxianzai.cn/api/applet/home/index/schoolDetail/2212e87b996ebd666f9b3f7545fd1e44；卡方2026录取名单专辑交叉验证：录取线364 | 2026年东北师范大学公布拟录取名单10+2人 https://mp.weixin.qq.com/s?__biz=MzIxNTM0MjQ3OA==&amp;mid=2247511468&amp;idx=3&amp;sn=e1c11589af640698e68a41f1bc86b110&amp;chksm=979b214da0eca85b97725e32dcd988032937e11ce1badd4903e0ddf04493344bfbc579d20b78#rd；统计战线小程序2026复试名单图人工下滑复核：绿色为未拟录取；与卡方标题10+2人闭合。分布及复录比按普通计划10人/12人，剔除2名少干专项。</t>
  </si>
  <si>
    <t>就现在考研小程序院校模块（2026-08-14读取）：https://admin.jiuxianzai.cn/api/applet/home/index/schoolDetail/9981192188eeeb2aaaf0106e534631cc</t>
  </si>
  <si>
    <t>351（小程序院校模块；待官网复核）</t>
    <phoneticPr fontId="9" type="noConversion"/>
  </si>
  <si>
    <t>就现在考研小程序院校模块（2026-08-14读取）：https://admin.jiuxianzai.cn/api/applet/home/index/schoolDetail/9981192188eeeb2aaaf0106e534631cc；经人数与最低录取线校验的名单图：https://jiuxianzai.oss-cn-beijing.aliyuncs.com/kaoyan/2026/05/15/cdd9375b2ccc47d4a3069fda61464898.png；卡方2026录取名单专辑交叉验证：录取线389 | 2026年东华大学公布拟录取名单25人 https://mp.weixin.qq.com/s?__biz=MzIxNTM0MjQ3OA==&amp;mid=2247511884&amp;idx=3&amp;sn=8d53c37b62a3d3cc2d3d4d372382c8bc&amp;chksm=979b23ada0ecaabb74fb8fde488a5f9786612b0d8054fdc932ea62e7483c011c09408337e528#rd</t>
  </si>
  <si>
    <t>就现在考研小程序院校模块（2026-08-14读取）：https://admin.jiuxianzai.cn/api/applet/home/index/schoolDetail/08214894121ecd7fd615f4583fe662d1</t>
  </si>
  <si>
    <t>352（小程序院校模块；待官网复核）</t>
    <phoneticPr fontId="9" type="noConversion"/>
  </si>
  <si>
    <t>就现在考研小程序院校模块（2026-08-14读取）：https://admin.jiuxianzai.cn/api/applet/home/index/schoolDetail/08214894121ecd7fd615f4583fe662d1；经人数与最低录取线校验的名单图：https://jiuxianzai.oss-cn-beijing.aliyuncs.com/kaoyan/2024/04/14/9c32374a27934181a9c845d1039c7741.png</t>
  </si>
  <si>
    <t>就现在考研小程序院校模块（2026-08-14读取）：https://admin.jiuxianzai.cn/api/applet/home/index/schoolDetail/08214894121ecd7fd615f4583fe662d1；经人数与最低录取线校验的名单图：https://jiuxianzai.oss-cn-beijing.aliyuncs.com/kaoyan/2025/04/07/a89e7e6c9b114379830ff96901054756.png</t>
  </si>
  <si>
    <t>就现在考研小程序院校模块（2026-08-14读取）：https://admin.jiuxianzai.cn/api/applet/home/index/schoolDetail/08214894121ecd7fd615f4583fe662d1；经人数与最低录取线校验的名单图：https://jiuxianzai.oss-cn-beijing.aliyuncs.com/kaoyan/2026/05/15/a5466fb7226d4a4f9ad8c7f720b17d50.png；卡方2026录取名单专辑交叉验证：初试第一被刷，录取线398  | 2026年北京工业大学公布拟录取名单13人 https://mp.weixin.qq.com/s?__biz=MzIxNTM0MjQ3OA==&amp;mid=2247511773&amp;idx=4&amp;sn=70daca445d6d8c435a6346145a90bd7a&amp;chksm=979b223ca0ecab2a437401c0379ee32ee2ebecf22614d46dd08241f3a9d806a986101979f24a#rd</t>
  </si>
  <si>
    <t>就现在考研小程序院校模块（2026-08-14读取）：https://admin.jiuxianzai.cn/api/applet/home/index/schoolDetail/e6184904e58ab302502ce1d2b0cf01dc</t>
  </si>
  <si>
    <t>366（小程序院校模块；待官网复核）</t>
    <phoneticPr fontId="9" type="noConversion"/>
  </si>
  <si>
    <t>就现在考研小程序院校模块（2026-08-14读取）：https://admin.jiuxianzai.cn/api/applet/home/index/schoolDetail/e6184904e58ab302502ce1d2b0cf01dc；经人数与最低录取线校验的名单图：https://jiuxianzai.oss-cn-beijing.aliyuncs.com/kaoyan/2024/05/01/222f44e3390c44228ef1b20364d4b430.png</t>
  </si>
  <si>
    <t>就现在考研小程序院校模块（2026-08-14读取）：https://admin.jiuxianzai.cn/api/applet/home/index/schoolDetail/e6184904e58ab302502ce1d2b0cf01dc；经人数与最低录取线校验的名单图：https://jiuxianzai.oss-cn-beijing.aliyuncs.com/kaoyan/2026/05/15/2903b99fb021427f908ffceeb4088294.png；卡方2026录取名单专辑交叉验证：录取线366 | 2026年郑州大学公布拟录取名单44人 https://mp.weixin.qq.com/s?__biz=MzIxNTM0MjQ3OA==&amp;mid=2247512232&amp;idx=5&amp;sn=e91ec6eee2c3fa4dac7bb937bf244f4d&amp;chksm=979b3c49a0ecb55f8695847682cfbd85348b21a2b1930ce71db75f27cccfd1667281b182af32#rd</t>
  </si>
  <si>
    <t>就现在考研小程序院校模块（2026-08-14读取）：https://admin.jiuxianzai.cn/api/applet/home/index/schoolDetail/20a5e59472635a28a69ee08ec0a82cf5; https://admin.jiuxianzai.cn/api/applet/home/index/schoolDetail/a2febbe104a80460a28e6a3a4172b085</t>
  </si>
  <si>
    <t>371（小程序院校模块；待官网复核）</t>
    <phoneticPr fontId="9" type="noConversion"/>
  </si>
  <si>
    <t>就现在考研小程序院校模块（2026-08-14读取）：https://admin.jiuxianzai.cn/api/applet/home/index/schoolDetail/20a5e59472635a28a69ee08ec0a82cf5; https://admin.jiuxianzai.cn/api/applet/home/index/schoolDetail/a2febbe104a80460a28e6a3a4172b085；经人数与最低录取线校验的名单图：https://jiuxianzai.oss-cn-beijing.aliyuncs.com/kaoyan/2024/05/06/1ff45452cd48413bbfd19b34c40634d7.png; https://jiuxianzai.oss-cn-beijing.aliyuncs.com/kaoyan/2024/05/06/af3a71bfc18f49ba86820f2d017e9b34.png</t>
  </si>
  <si>
    <t>就现在考研小程序院校模块（2026-08-14读取）：https://admin.jiuxianzai.cn/api/applet/home/index/schoolDetail/20a5e59472635a28a69ee08ec0a82cf5; https://admin.jiuxianzai.cn/api/applet/home/index/schoolDetail/a2febbe104a80460a28e6a3a4172b085；经人数与最低录取线校验的名单图：https://jiuxianzai.oss-cn-beijing.aliyuncs.com/kaoyan/2026/05/15/ff91f32b6c424ee4aaac3c1a5d728477.png; https://jiuxianzai.oss-cn-beijing.aliyuncs.com/kaoyan/2026/05/15/21a655f4bfc9408f8ac8ffa1557bfd97.png；卡方2026录取名单专辑交叉验证：录取线382/343 | 2026年华南师范大学公布拟录取名单25+12人 https://mp.weixin.qq.com/s?__biz=MzIxNTM0MjQ3OA==&amp;mid=2247512220&amp;idx=6&amp;sn=0fb297724ecf8f285fac5f59fb58f432&amp;chksm=979b3c7da0ecb56bc8cb46e4697cb0b283cfccbc0115388ee5f2db57d907811196d65896033b#rd</t>
  </si>
  <si>
    <t>就现在考研小程序院校模块（2026-08-14读取）：https://admin.jiuxianzai.cn/api/applet/home/index/schoolDetail/b1f6e61e91fe5877912103300d1d4d81；经人数与最低录取线校验的名单图：https://jiuxianzai.oss-cn-beijing.aliyuncs.com/kaoyan/2022/04/18/1fbe940a2cd04e3cb2ad63e1571604bd.png</t>
  </si>
  <si>
    <t>362（小程序院校模块；待官网复核）</t>
    <phoneticPr fontId="9" type="noConversion"/>
  </si>
  <si>
    <t>就现在考研小程序院校模块（2026-08-14读取）：https://admin.jiuxianzai.cn/api/applet/home/index/schoolDetail/b1f6e61e91fe5877912103300d1d4d81</t>
  </si>
  <si>
    <t>就现在考研小程序院校模块（2026-08-14读取）：https://admin.jiuxianzai.cn/api/applet/home/index/schoolDetail/b1f6e61e91fe5877912103300d1d4d81；经人数与最低录取线校验的名单图：https://jiuxianzai.oss-cn-beijing.aliyuncs.com/kaoyan/2024/04/08/081d7c422c72477b9ce72ab662e0f856.png</t>
  </si>
  <si>
    <t>就现在考研小程序院校模块（2026-08-14读取）：https://admin.jiuxianzai.cn/api/applet/home/index/schoolDetail/b1f6e61e91fe5877912103300d1d4d81；经人数与最低录取线校验的名单图：https://jiuxianzai.oss-cn-beijing.aliyuncs.com/kaoyan/2025/04/07/5be090bf15d44feea6441bc3ed77e197.png</t>
  </si>
  <si>
    <t>就现在考研小程序院校模块（2026-08-14读取）：https://admin.jiuxianzai.cn/api/applet/home/index/schoolDetail/b1f6e61e91fe5877912103300d1d4d81；经人数与最低录取线校验的名单图：https://jiuxianzai.oss-cn-beijing.aliyuncs.com/kaoyan/2026/05/15/8aedf96925764ffeb35f485ba6098608.png；卡方2026录取名单专辑交叉验证：录取线357  | 2026年华中师范大学公布拟录取名单35人 https://mp.weixin.qq.com/s?__biz=MzIxNTM0MjQ3OA==&amp;mid=2247511546&amp;idx=4&amp;sn=3fb18d94751c1ae679a874312c430dc2&amp;chksm=979b211ba0eca80d4924827cc666af521aa588fc404eb443aedfde1000264753ba04529afb77#rd</t>
  </si>
  <si>
    <t>就现在考研小程序院校模块（2026-08-14读取）：https://admin.jiuxianzai.cn/api/applet/home/index/schoolDetail/22f40568727b2b630ef5aeac61c8cc86</t>
  </si>
  <si>
    <t>就现在考研小程序院校模块（2026-08-14读取）：https://admin.jiuxianzai.cn/api/applet/home/index/schoolDetail/22f40568727b2b630ef5aeac61c8cc86；经人数与最低录取线校验的名单图：https://jiuxianzai.oss-cn-beijing.aliyuncs.com/kaoyan/2025/04/07/03df13c2084f42b5b8d9bee85808735f.png</t>
  </si>
  <si>
    <t>就现在考研小程序院校模块（2026-08-14读取）：https://admin.jiuxianzai.cn/api/applet/home/index/schoolDetail/22f40568727b2b630ef5aeac61c8cc86；经人数与最低录取线校验的名单图：https://jiuxianzai.oss-cn-beijing.aliyuncs.com/kaoyan/2026/05/15/85d8569f173f4aaeaf144a141dda91da.png；卡方2026录取名单专辑交叉验证：录取线360 | 2026年西南交通大学公布拟录取名单10人 https://mp.weixin.qq.com/s?__biz=MzIxNTM0MjQ3OA==&amp;mid=2247511621&amp;idx=5&amp;sn=f1974365fc3ced2dbd6997e343cc4f93&amp;chksm=979b22a4a0ecabb29e758a7848b632903e13ebc249504d0c1db785f388c3751e56af239808a5#rd</t>
  </si>
  <si>
    <t>就现在考研小程序院校模块（2026-08-14读取）：https://admin.jiuxianzai.cn/api/applet/home/index/schoolDetail/a8a62f7f7ad02bcd50fec1350e962d1a</t>
  </si>
  <si>
    <t>386（小程序院校模块；待官网复核）</t>
    <phoneticPr fontId="9" type="noConversion"/>
  </si>
  <si>
    <t>就现在考研小程序院校模块（2026-08-14读取）：https://admin.jiuxianzai.cn/api/applet/home/index/schoolDetail/a8a62f7f7ad02bcd50fec1350e962d1a；经人数与最低录取线校验的名单图：https://jiuxianzai.oss-cn-beijing.aliyuncs.com/kaoyan/2024/04/08/425ca9e56e524553b506f20500674ed4.png</t>
  </si>
  <si>
    <t>就现在考研小程序院校模块（2026-08-14读取）：https://admin.jiuxianzai.cn/api/applet/home/index/schoolDetail/a8a62f7f7ad02bcd50fec1350e962d1a；经人数与最低录取线校验的名单图：https://jiuxianzai.oss-cn-beijing.aliyuncs.com/kaoyan/2025/04/07/de0a5fa1bb924389987e6b869c209f90.png</t>
  </si>
  <si>
    <t>就现在考研小程序院校模块（2026-08-14读取）：https://admin.jiuxianzai.cn/api/applet/home/index/schoolDetail/a8a62f7f7ad02bcd50fec1350e962d1a；卡方2026录取名单专辑交叉验证：录取线341 | 2026年西北大学公布拟录取名单42+1人，补录4人！ https://mp.weixin.qq.com/s?__biz=MzIxNTM0MjQ3OA==&amp;mid=2247511476&amp;idx=5&amp;sn=4e4edd5bb69b14e98858afe6e45af996&amp;chksm=979b2155a0eca84396d192e02a5c94ccba97e05fc303cced11122dadb079d7ca8c19fae624bc#rd；统计战线小程序2026复试名单图人工下滑复核：绿色为未拟录取；与卡方标题42+1人闭合。分布及复录比按普通计划42人/52人，剔除1名少干专项。</t>
  </si>
  <si>
    <t>就现在考研小程序院校模块（2026-08-14读取）：https://admin.jiuxianzai.cn/api/applet/home/index/schoolDetail/d244bb654f35a3f1189323b88c5a7c04; https://admin.jiuxianzai.cn/api/applet/home/index/schoolDetail/e41c6eec6386f172b952fece19a0f088</t>
  </si>
  <si>
    <t>377（小程序院校模块；待官网复核）</t>
    <phoneticPr fontId="9" type="noConversion"/>
  </si>
  <si>
    <t>就现在考研小程序院校模块（2026-08-14读取）：https://admin.jiuxianzai.cn/api/applet/home/index/schoolDetail/d244bb654f35a3f1189323b88c5a7c04; https://admin.jiuxianzai.cn/api/applet/home/index/schoolDetail/e41c6eec6386f172b952fece19a0f088；经人数与最低录取线校验的名单图：https://jiuxianzai.oss-cn-beijing.aliyuncs.com/kaoyan/2024/04/09/44594d800d1c4fdf9b5f198bda3e56b3.png; https://jiuxianzai.oss-cn-beijing.aliyuncs.com/kaoyan/2024/05/01/8cf9e0ea7dc047ffa3ce3ac0fad32364.png</t>
  </si>
  <si>
    <t>就现在考研小程序院校模块（2026-08-14读取）：https://admin.jiuxianzai.cn/api/applet/home/index/schoolDetail/d244bb654f35a3f1189323b88c5a7c04; https://admin.jiuxianzai.cn/api/applet/home/index/schoolDetail/e41c6eec6386f172b952fece19a0f088；经人数与最低录取线校验的名单图：https://jiuxianzai.oss-cn-beijing.aliyuncs.com/kaoyan/2025/04/07/94af22aaf0a342dd9450908f4041b750.png; https://jiuxianzai.oss-cn-beijing.aliyuncs.com/kaoyan/2025/04/07/6f853d1fc86f41e8846762437c29bec6.png</t>
  </si>
  <si>
    <t>就现在考研小程序院校模块（2026-08-14读取）：https://admin.jiuxianzai.cn/api/applet/home/index/schoolDetail/d244bb654f35a3f1189323b88c5a7c04; https://admin.jiuxianzai.cn/api/applet/home/index/schoolDetail/e41c6eec6386f172b952fece19a0f088；经人数与最低录取线校验的名单图：https://jiuxianzai.oss-cn-beijing.aliyuncs.com/kaoyan/2026/05/15/ff6a499c5d434b4d9666674a73705499.png; https://jiuxianzai.oss-cn-beijing.aliyuncs.com/kaoyan/2026/05/15/206a8989fb864f22af9f2267ae2d6773.png；卡方2026录取名单专辑交叉验证：录取线377/370｜2026年中国石油大学（北京）公布拟录取名单12+1人 https://mp.weixin.qq.com/s?__biz=MzIxNTM0MjQ3OA==&amp;mid=2247511562&amp;idx=6&amp;sn=4a605845772e593087ff153672396165&amp;chksm=979b22eba0ecabfd7d0f4c3e1c32a6b77c28605f34fde2c580cec75651af61f93d5446dec141#rd</t>
  </si>
  <si>
    <t>就现在考研小程序院校模块（2026-08-14读取）：https://admin.jiuxianzai.cn/api/applet/home/index/schoolDetail/13307756a9c5f293c189c4680e3b983e; https://admin.jiuxianzai.cn/api/applet/home/index/schoolDetail/30e69a8facb6798aa95c67a1c83900c2</t>
  </si>
  <si>
    <t>349（小程序院校模块；待官网复核）</t>
    <phoneticPr fontId="9" type="noConversion"/>
  </si>
  <si>
    <t>就现在考研小程序院校模块（2026-08-14读取）：https://admin.jiuxianzai.cn/api/applet/home/index/schoolDetail/13307756a9c5f293c189c4680e3b983e; https://admin.jiuxianzai.cn/api/applet/home/index/schoolDetail/30e69a8facb6798aa95c67a1c83900c2；经人数与最低录取线校验的名单图：https://jiuxianzai.oss-cn-beijing.aliyuncs.com/kaoyan/2023/06/01/a90568539ebb4c67b5c8b11704009221.png; https://jiuxianzai.oss-cn-beijing.aliyuncs.com/kaoyan/2023/06/01/b348540d63734303b4587a24f3a32e73.png</t>
  </si>
  <si>
    <t>就现在考研小程序院校模块（2026-08-14读取）：https://admin.jiuxianzai.cn/api/applet/home/index/schoolDetail/13307756a9c5f293c189c4680e3b983e; https://admin.jiuxianzai.cn/api/applet/home/index/schoolDetail/30e69a8facb6798aa95c67a1c83900c2；经人数与最低录取线校验的名单图：https://jiuxianzai.oss-cn-beijing.aliyuncs.com/kaoyan/2024/05/01/57218ecc7da2488bae715a5a57686822.png; https://jiuxianzai.oss-cn-beijing.aliyuncs.com/kaoyan/2024/04/09/262e77ecb32748f7b2110fb572d49bcd.png</t>
  </si>
  <si>
    <t>就现在考研小程序院校模块（2026-08-14读取）：https://admin.jiuxianzai.cn/api/applet/home/index/schoolDetail/13307756a9c5f293c189c4680e3b983e; https://admin.jiuxianzai.cn/api/applet/home/index/schoolDetail/30e69a8facb6798aa95c67a1c83900c2；经人数与最低录取线校验的名单图：https://jiuxianzai.oss-cn-beijing.aliyuncs.com/kaoyan/2026/05/15/a582d38c86bb487a87de637513c0ab78.png; https://jiuxianzai.oss-cn-beijing.aliyuncs.com/kaoyan/2026/05/15/98735ebcedcb4f4fbac7b0801faee479.png；卡方2026录取名单专辑交叉验证：录取线372 | 2026年华北电力大学（保定）公布拟录取名单17人 https://mp.weixin.qq.com/s?__biz=MzIxNTM0MjQ3OA==&amp;mid=2247511654&amp;idx=6&amp;sn=ca361929968cfd85532f780da2d893ff&amp;chksm=979b2287a0ecab91c2a8d0a4071db0eb04d442da3372a9836c8b92fb8d9c394aee3ad01f2962#rd；录取线381 | 2026年华北电力大学公布拟录取名单37人 https://mp.weixin.qq.com/s?__biz=MzIxNTM0MjQ3OA==&amp;mid=2247512114&amp;idx=4&amp;sn=fba13f5fe9a3f7af6798a3160f0801d2&amp;chksm=979b3cd3a0ecb5c5591fb2aeb52d9a382bfa310f2e06d801ad65af57b48b4992534a53d8be57#rd</t>
  </si>
  <si>
    <t>就现在考研小程序院校模块（2026-08-14读取）：https://admin.jiuxianzai.cn/api/applet/home/index/schoolDetail/25a4d513677af09de4daadfae0914e1b；经人数与最低录取线校验的名单图：https://jiuxianzai.oss-cn-beijing.aliyuncs.com/kaoyan/2022/04/18/e43b21ec04734e2aa0253c97519a2eea.png</t>
  </si>
  <si>
    <t>367（小程序院校模块；待官网复核）</t>
    <phoneticPr fontId="9" type="noConversion"/>
  </si>
  <si>
    <t>就现在考研小程序院校模块（2026-08-14读取）：https://admin.jiuxianzai.cn/api/applet/home/index/schoolDetail/25a4d513677af09de4daadfae0914e1b</t>
  </si>
  <si>
    <t>就现在考研小程序院校模块（2026-08-14读取）：https://admin.jiuxianzai.cn/api/applet/home/index/schoolDetail/25a4d513677af09de4daadfae0914e1b；经人数与最低录取线校验的名单图：https://jiuxianzai.oss-cn-beijing.aliyuncs.com/kaoyan/2024/04/14/0bf77b5e91a94f58aed20bb4338913a4.png</t>
  </si>
  <si>
    <t>就现在考研小程序院校模块（2026-08-14读取）：https://admin.jiuxianzai.cn/api/applet/home/index/schoolDetail/25a4d513677af09de4daadfae0914e1b；经人数与最低录取线校验的名单图：https://jiuxianzai.oss-cn-beijing.aliyuncs.com/kaoyan/2025/04/15/874755a1dd93485abff682720b64daa0.png</t>
  </si>
  <si>
    <t>就现在考研小程序院校模块（2026-08-14读取）：https://admin.jiuxianzai.cn/api/applet/home/index/schoolDetail/25a4d513677af09de4daadfae0914e1b；经人数与最低录取线校验的名单图：https://jiuxianzai.oss-cn-beijing.aliyuncs.com/kaoyan/2026/05/15/f21ac85126ba414198fcdee6d9f75f9d.png；卡方2026录取名单专辑交叉验证：录取线355 | 2026年南京师范大学公布拟录取名单14人 https://mp.weixin.qq.com/s?__biz=MzIxNTM0MjQ3OA==&amp;mid=2247511628&amp;idx=4&amp;sn=58b9eb8a8c0e3b000ed1cb7aadd6734b&amp;chksm=979b22ada0ecabbb3d18f4cc6d3f754adced9f5b7922294fc886ea21df7e862bd10383076add#rd</t>
  </si>
  <si>
    <t>就现在考研小程序院校模块（2026-08-14读取）：https://admin.jiuxianzai.cn/api/applet/home/index/schoolDetail/6fa225f17053b8e47af81766c6c7ccc6</t>
  </si>
  <si>
    <t>就现在考研小程序院校模块（2026-08-14读取）：https://admin.jiuxianzai.cn/api/applet/home/index/schoolDetail/6fa225f17053b8e47af81766c6c7ccc6；经人数与最低录取线校验的名单图：https://jiuxianzai.oss-cn-beijing.aliyuncs.com/kaoyan/2024/04/09/cb3b66dc38d84283b69d2389da342cf7.png</t>
  </si>
  <si>
    <t>就现在考研小程序院校模块（2026-08-14读取）：https://admin.jiuxianzai.cn/api/applet/home/index/schoolDetail/6fa225f17053b8e47af81766c6c7ccc6；经人数与最低录取线校验的名单图：https://jiuxianzai.oss-cn-beijing.aliyuncs.com/kaoyan/2026/05/15/9585821bd7d44cb7947ba384743b1034.png；卡方2026录取名单专辑交叉验证：录取线367 | 2026年中国石油大学(华东)公布拟录取名单21人，其余8人候补 https://mp.weixin.qq.com/s?__biz=MzIxNTM0MjQ3OA==&amp;mid=2247511476&amp;idx=6&amp;sn=3198f1f80c001e509efd65d177171b96&amp;chksm=979b2155a0eca84398c7dcfff17d151f70552f005ac1434aca023dba547f4fa0e14b4532a0e1#rd</t>
  </si>
  <si>
    <t>就现在考研小程序院校模块（2026-08-14读取）：https://admin.jiuxianzai.cn/api/applet/home/index/schoolDetail/54741a8400d2d1c10c484e82e516f707; https://admin.jiuxianzai.cn/api/applet/home/index/schoolDetail/f5abef8326596648ba1d980ba12e0ecf</t>
  </si>
  <si>
    <t>376（小程序院校模块；待官网复核）</t>
    <phoneticPr fontId="9" type="noConversion"/>
  </si>
  <si>
    <t>就现在考研小程序院校模块（2026-08-14读取）：https://admin.jiuxianzai.cn/api/applet/home/index/schoolDetail/54741a8400d2d1c10c484e82e516f707; https://admin.jiuxianzai.cn/api/applet/home/index/schoolDetail/f5abef8326596648ba1d980ba12e0ecf；经人数与最低录取线校验的名单图：https://jiuxianzai.oss-cn-beijing.aliyuncs.com/kaoyan/2024/04/09/07ab60821f574ed19c464a7c4b9c2823.png; https://jiuxianzai.oss-cn-beijing.aliyuncs.com/kaoyan/2024/04/08/cde667f52b214fafbaeb7cc1d054a22a.png</t>
  </si>
  <si>
    <t>就现在考研小程序院校模块（2026-08-14读取）：https://admin.jiuxianzai.cn/api/applet/home/index/schoolDetail/54741a8400d2d1c10c484e82e516f707; https://admin.jiuxianzai.cn/api/applet/home/index/schoolDetail/f5abef8326596648ba1d980ba12e0ecf；经人数与最低录取线校验的名单图：https://jiuxianzai.oss-cn-beijing.aliyuncs.com/kaoyan/2025/04/07/0b43ba0249d54dad8d00bbdf4097e764.png; https://jiuxianzai.oss-cn-beijing.aliyuncs.com/kaoyan/2025/04/07/aba39abdcd894e6783d53b1ab569a272.png</t>
  </si>
  <si>
    <t>就现在考研小程序院校模块（2026-08-14读取）：https://admin.jiuxianzai.cn/api/applet/home/index/schoolDetail/54741a8400d2d1c10c484e82e516f707; https://admin.jiuxianzai.cn/api/applet/home/index/schoolDetail/f5abef8326596648ba1d980ba12e0ecf；经人数与最低录取线校验的名单图：https://jiuxianzai.oss-cn-beijing.aliyuncs.com/kaoyan/2026/05/15/c867fd14669a47a6b93df1e116b724fe.png; https://jiuxianzai.oss-cn-beijing.aliyuncs.com/kaoyan/2026/05/15/55701d8b00784fc299ca7afbe226ce3e.png；卡方2026录取名单专辑交叉验证：录取线370/326 | 2026年中国地质大学(武汉)公布拟录取名单12+1+15人 https://mp.weixin.qq.com/s?__biz=MzIxNTM0MjQ3OA==&amp;mid=2247511546&amp;idx=5&amp;sn=c5849e02cd8f8543e7b0c72eff106f37&amp;chksm=979b211ba0eca80d8b8d619f6329545e03c29bd8b7ecafa7ecd188e28f7e6c5a05e76c2e9be2#rd</t>
  </si>
  <si>
    <t>就现在考研小程序院校模块（2026-08-14读取）：https://admin.jiuxianzai.cn/api/applet/home/index/schoolDetail/8a4a3de5e4d11f28df46f1455b74f57d</t>
  </si>
  <si>
    <t>就现在考研小程序院校模块（2026-08-14读取）：https://admin.jiuxianzai.cn/api/applet/home/index/schoolDetail/8a4a3de5e4d11f28df46f1455b74f57d；经人数与最低录取线校验的名单图：https://jiuxianzai.oss-cn-beijing.aliyuncs.com/kaoyan/2025/04/07/3c3b93986d9142988585b86af570a493.png</t>
  </si>
  <si>
    <t>就现在考研小程序院校模块（2026-08-14读取）：https://admin.jiuxianzai.cn/api/applet/home/index/schoolDetail/8a4a3de5e4d11f28df46f1455b74f57d；卡方2026录取名单专辑交叉验证：录取线380 | 2026年中国地质大学（北京）公布拟录取名单12+1人 https://mp.weixin.qq.com/s?__biz=MzIxNTM0MjQ3OA==&amp;mid=2247511448&amp;idx=3&amp;sn=ac69503731fad60f1026c1ec5d44f8f4&amp;chksm=979b2179a0eca86f8d5ea98fb94277b824af56488a478c7f955063baca16837f39c0c4705c13#rd；官方校级拟录取名单：https://bm.cugb.edu.cn/yjsyzsb/upload/resources/file/2026/04/10/302702.pdf；排除非全日制定向、单考和退役大学生士兵专项。</t>
  </si>
  <si>
    <t>就现在考研小程序院校模块（2026-08-14读取）：https://admin.jiuxianzai.cn/api/applet/home/index/schoolDetail/112f71f0dd993eb4aa1251b4cffcfda5</t>
  </si>
  <si>
    <t>383（小程序院校模块；待官网复核）</t>
    <phoneticPr fontId="9" type="noConversion"/>
  </si>
  <si>
    <t>就现在考研小程序院校模块（2026-08-14读取）：https://admin.jiuxianzai.cn/api/applet/home/index/schoolDetail/112f71f0dd993eb4aa1251b4cffcfda5；经人数与最低录取线校验的名单图：https://jiuxianzai.oss-cn-beijing.aliyuncs.com/kaoyan/2024/04/08/28024a11b1424652a07ee47ad77a07ce.png</t>
  </si>
  <si>
    <t>就现在考研小程序院校模块（2026-08-14读取）：https://admin.jiuxianzai.cn/api/applet/home/index/schoolDetail/112f71f0dd993eb4aa1251b4cffcfda5；经人数与最低录取线校验的名单图：https://jiuxianzai.oss-cn-beijing.aliyuncs.com/kaoyan/2026/05/15/2238d928f947414b85a436dac60ce72b.png；卡方2026录取名单专辑交叉验证：录取线390 | 2026年福州大学公布拟录取名单23人 https://mp.weixin.qq.com/s?__biz=MzIxNTM0MjQ3OA==&amp;mid=2247511676&amp;idx=5&amp;sn=3f45838d7010ecd692c7a72beb223882&amp;chksm=979b229da0ecab8beab443bf65e556294a016309c4011c767b62fe9ebc276891936398859591#rd</t>
  </si>
  <si>
    <t>就现在考研小程序院校模块（2026-08-14读取）：https://admin.jiuxianzai.cn/api/applet/home/index/schoolDetail/2efb3bf61f65f7fd5b43f15d3a532ba6</t>
  </si>
  <si>
    <t>就现在考研小程序院校模块（2026-08-14读取）：https://admin.jiuxianzai.cn/api/applet/home/index/schoolDetail/2efb3bf61f65f7fd5b43f15d3a532ba6；经人数与最低录取线校验的名单图：https://jiuxianzai.oss-cn-beijing.aliyuncs.com/kaoyan/2024/04/14/7328410dde294040ae045f6e4a84becc.png</t>
  </si>
  <si>
    <t>就现在考研小程序院校模块（2026-08-14读取）：https://admin.jiuxianzai.cn/api/applet/home/index/schoolDetail/2efb3bf61f65f7fd5b43f15d3a532ba6；经人数与最低录取线校验的名单图：https://jiuxianzai.oss-cn-beijing.aliyuncs.com/kaoyan/2026/05/15/733bcffcf3e94532b0b67b19f6feed08.png；卡方2026录取名单专辑交叉验证：录取线400 | 2026年西南大学公布拟录取名单23人 https://mp.weixin.qq.com/s?__biz=MzIxNTM0MjQ3OA==&amp;mid=2247511665&amp;idx=5&amp;sn=a0312bbf621c78991806f531fa6bb8cb&amp;chksm=979b2290a0ecab86979fc703c691f2a864dc2a9111a97b3e18a7635870bfc85146dc4cc0ca5e#rd</t>
  </si>
  <si>
    <t>就现在考研小程序院校模块（2026-08-14读取）：https://admin.jiuxianzai.cn/api/applet/home/index/schoolDetail/3f35a6bf161df2c1957177f9d19cc26a</t>
  </si>
  <si>
    <t>就现在考研小程序院校模块（2026-08-14读取）：https://admin.jiuxianzai.cn/api/applet/home/index/schoolDetail/3f35a6bf161df2c1957177f9d19cc26a；经人数与最低录取线校验的名单图：https://jiuxianzai.oss-cn-beijing.aliyuncs.com/kaoyan/2023/06/01/73f226ad6c55460c855f226871e76f16.png</t>
  </si>
  <si>
    <t>就现在考研小程序院校模块（2026-08-14读取）：https://admin.jiuxianzai.cn/api/applet/home/index/schoolDetail/3f35a6bf161df2c1957177f9d19cc26a；经人数与最低录取线校验的名单图：https://jiuxianzai.oss-cn-beijing.aliyuncs.com/kaoyan/2024/05/08/ef6008dcf95240f798d770fb6808388d.png</t>
  </si>
  <si>
    <t>就现在考研小程序院校模块（2026-08-14读取）：https://admin.jiuxianzai.cn/api/applet/home/index/schoolDetail/3f35a6bf161df2c1957177f9d19cc26a；经人数与最低录取线校验的名单图：https://jiuxianzai.oss-cn-beijing.aliyuncs.com/kaoyan/2026/05/15/c376bd3dea1c4572af5fe7f1fa349530.png；卡方2026录取名单专辑交叉验证：录取线340| 2026年陕西师范大学公布拟录取名单30人 https://mp.weixin.qq.com/s?__biz=MzIxNTM0MjQ3OA==&amp;mid=2247512178&amp;idx=4&amp;sn=98864aaf532e0ab88f537a6335721824&amp;chksm=979b3c93a0ecb5853e2d71ff602effb77c3b4377de40a8ae825946e9d72eac0264964bd22661#rd</t>
  </si>
  <si>
    <t>就现在考研小程序院校模块（2026-08-14读取）：https://admin.jiuxianzai.cn/api/applet/home/index/schoolDetail/3c2c634c645c2ad3d9d98199834f8e73</t>
  </si>
  <si>
    <t>385（小程序院校模块；待官网复核）</t>
    <phoneticPr fontId="9" type="noConversion"/>
  </si>
  <si>
    <t>就现在考研小程序院校模块（2026-08-14读取）：https://admin.jiuxianzai.cn/api/applet/home/index/schoolDetail/3c2c634c645c2ad3d9d98199834f8e73；经人数与最低录取线校验的名单图：https://jiuxianzai.oss-cn-beijing.aliyuncs.com/kaoyan/2024/04/14/6fdb898a22b94e6cbd0656f4e7748a27.png</t>
  </si>
  <si>
    <t>就现在考研小程序院校模块（2026-08-14读取）：https://admin.jiuxianzai.cn/api/applet/home/index/schoolDetail/3c2c634c645c2ad3d9d98199834f8e73；经人数与最低录取线校验的名单图：https://jiuxianzai.oss-cn-beijing.aliyuncs.com/kaoyan/2026/05/14/cbbb426fb24e4d65add78f045bd3f78e.png；卡方2026录取名单专辑交叉验证：录取线382 | 2026年中央民族大学公布拟录取名单71人 https://mp.weixin.qq.com/s?__biz=MzIxNTM0MjQ3OA==&amp;mid=2247511797&amp;idx=4&amp;sn=f443563543603700ba80fd99defcbc7f&amp;chksm=979b2214a0ecab02ac614bd38fb2e241ee8d65fdaa6cfa62d56266cc085fb7991ec63d31702c#rd</t>
  </si>
  <si>
    <t>就现在考研小程序院校模块（2026-08-14读取）：https://admin.jiuxianzai.cn/api/applet/home/index/schoolDetail/3d84697bbf795da24d79d3c8158d9b6d; https://admin.jiuxianzai.cn/api/applet/home/index/schoolDetail/641847d4de044596a1580f1b2ed79c5c</t>
  </si>
  <si>
    <t>就现在考研小程序院校模块（2026-08-14读取）：https://admin.jiuxianzai.cn/api/applet/home/index/schoolDetail/3d84697bbf795da24d79d3c8158d9b6d; https://admin.jiuxianzai.cn/api/applet/home/index/schoolDetail/641847d4de044596a1580f1b2ed79c5c；经人数与最低录取线校验的名单图：https://jiuxianzai.oss-cn-beijing.aliyuncs.com/kaoyan/2024/05/19/f352a6406ef8429ebebd4bc233764f69.png; https://jiuxianzai.oss-cn-beijing.aliyuncs.com/kaoyan/2024/05/19/378d2a9594cc45dabd2d62b4abf3b4e3.png</t>
  </si>
  <si>
    <t>就现在考研小程序院校模块（2026-08-14读取）：https://admin.jiuxianzai.cn/api/applet/home/index/schoolDetail/3d84697bbf795da24d79d3c8158d9b6d; https://admin.jiuxianzai.cn/api/applet/home/index/schoolDetail/641847d4de044596a1580f1b2ed79c5c；经人数与最低录取线校验的名单图：https://jiuxianzai.oss-cn-beijing.aliyuncs.com/kaoyan/2026/05/15/1fd25e819ba54ff49e91f415dc879161.png; https://jiuxianzai.oss-cn-beijing.aliyuncs.com/kaoyan/2026/05/15/db41cb86662147b89f4ba76b276b815b.png；卡方2026录取名单专辑交叉验证：录取线352/344 | 2026年辽宁大学公布拟录取名单27+37人 https://mp.weixin.qq.com/s?__biz=MzIxNTM0MjQ3OA==&amp;mid=2247511642&amp;idx=6&amp;sn=8213aba784afcb26e3edb16a89d77735&amp;chksm=979b22bba0ecabad62e1ab741a3ebfd74655317aecd7322700a53bdbd37f2eb978aff89aa71c#rd</t>
  </si>
  <si>
    <t>就现在考研小程序院校模块（2026-08-14读取）：https://admin.jiuxianzai.cn/api/applet/home/index/schoolDetail/7a28a25a9c92d0a21e5d4f3cd446765e</t>
  </si>
  <si>
    <t>就现在考研小程序院校模块（2026-08-14读取）：https://admin.jiuxianzai.cn/api/applet/home/index/schoolDetail/7a28a25a9c92d0a21e5d4f3cd446765e；经人数与最低录取线校验的名单图：https://jiuxianzai.oss-cn-beijing.aliyuncs.com/kaoyan/2024/04/08/fa1155fd510440d98f5773b79fde0e13.png</t>
  </si>
  <si>
    <t>就现在考研小程序院校模块（2026-08-14读取）：https://admin.jiuxianzai.cn/api/applet/home/index/schoolDetail/7a28a25a9c92d0a21e5d4f3cd446765e；经人数与最低录取线校验的名单图：https://jiuxianzai.oss-cn-beijing.aliyuncs.com/kaoyan/2025/04/07/7b1c9299cfc84127ab507f90b39ae4d5.png</t>
  </si>
  <si>
    <t>就现在考研小程序院校模块（2026-08-14读取）：https://admin.jiuxianzai.cn/api/applet/home/index/schoolDetail/7a28a25a9c92d0a21e5d4f3cd446765e；经人数与最低录取线校验的名单图：https://jiuxianzai.oss-cn-beijing.aliyuncs.com/kaoyan/2026/05/15/2e41765a68034441b23b22eda7e31720.png；卡方2026录取名单专辑交叉验证：录取线339 | 2026年湖南师范大学公布拟录取名单27人 https://mp.weixin.qq.com/s?__biz=MzIxNTM0MjQ3OA==&amp;mid=2247511562&amp;idx=5&amp;sn=ccd5d0bbee5789e0ff33f2766027f65f&amp;chksm=979b22eba0ecabfda96b9b5ff0481cc7cb99d7a3bd08f0e53b7488693e7c1ee52b98f59823f7#rd</t>
  </si>
  <si>
    <t>就现在考研小程序院校模块（2026-08-14读取）：https://admin.jiuxianzai.cn/api/applet/home/index/schoolDetail/50150d0aadfdaa3758db009ae69c3521</t>
  </si>
  <si>
    <t>375（小程序院校模块；待官网复核）</t>
    <phoneticPr fontId="9" type="noConversion"/>
  </si>
  <si>
    <t>就现在考研小程序院校模块（2026-08-14读取）：https://admin.jiuxianzai.cn/api/applet/home/index/schoolDetail/50150d0aadfdaa3758db009ae69c3521；经人数与最低录取线校验的名单图：https://jiuxianzai.oss-cn-beijing.aliyuncs.com/kaoyan/2026/05/15/01e65f7cd26f4845ace98d6e77e9c11e.png；卡方2026录取名单专辑交叉验证：性价比之选，录取线353 | 2026年北京林业大学公布拟录取名单33人 https://mp.weixin.qq.com/s?__biz=MzIxNTM0MjQ3OA==&amp;mid=2247512114&amp;idx=5&amp;sn=88502fe1a963f693fd14f122f88432f8&amp;chksm=979b3cd3a0ecb5c5cbafa559835aa9c931be6b8d6dc3b13a9498a143609174213a31fa47c86a#rd</t>
  </si>
  <si>
    <t>就现在考研小程序院校模块（2026-08-14读取）：https://admin.jiuxianzai.cn/api/applet/home/index/schoolDetail/c2ff9e028cb9a501c8b32ce810184de5</t>
  </si>
  <si>
    <t>353（小程序院校模块；待官网复核）</t>
    <phoneticPr fontId="9" type="noConversion"/>
  </si>
  <si>
    <t>就现在考研小程序院校模块（2026-08-14读取）：https://admin.jiuxianzai.cn/api/applet/home/index/schoolDetail/c2ff9e028cb9a501c8b32ce810184de5；经人数与最低录取线校验的名单图：https://jiuxianzai.oss-cn-beijing.aliyuncs.com/kaoyan/2024/04/08/5d4b5c0ef25e46079bde6f97faf561d4.png</t>
  </si>
  <si>
    <t>就现在考研小程序院校模块（2026-08-14读取）：https://admin.jiuxianzai.cn/api/applet/home/index/schoolDetail/c2ff9e028cb9a501c8b32ce810184de5；经人数与最低录取线校验的名单图：https://jiuxianzai.oss-cn-beijing.aliyuncs.com/kaoyan/2025/04/07/16aaeecaa42f4282b1a7ad262dcd80be.png</t>
  </si>
  <si>
    <t>就现在考研小程序院校模块（2026-08-14读取）：https://admin.jiuxianzai.cn/api/applet/home/index/schoolDetail/c2ff9e028cb9a501c8b32ce810184de5；经人数与最低录取线校验的名单图：https://jiuxianzai.oss-cn-beijing.aliyuncs.com/kaoyan/2026/05/15/bdc1055f2e6f403b90a021720f07634f.png；卡方2026录取名单专辑交叉验证：录取线369 | 2026年河北工业大学公布拟录取名单21人 https://mp.weixin.qq.com/s?__biz=MzIxNTM0MjQ3OA==&amp;mid=2247511642&amp;idx=5&amp;sn=9eefaa93a93f333932d68a9ae4fde790&amp;chksm=979b22bba0ecabad3898d80625ae367bbf01d7eb10ca2103fac57644697f0a758f844bf057a9#rd</t>
  </si>
  <si>
    <t>就现在考研小程序院校模块（2026-08-14读取）：https://admin.jiuxianzai.cn/api/applet/home/index/schoolDetail/d34c7f35ef107ae49663865d4d6ed3ab</t>
  </si>
  <si>
    <t>就现在考研小程序院校模块（2026-08-14读取）：https://admin.jiuxianzai.cn/api/applet/home/index/schoolDetail/d34c7f35ef107ae49663865d4d6ed3ab；经人数与最低录取线校验的名单图：https://jiuxianzai.oss-cn-beijing.aliyuncs.com/kaoyan/2023/04/13/22364d94b9b044179c347050585c8747.png</t>
  </si>
  <si>
    <t>就现在考研小程序院校模块（2026-08-14读取）：https://admin.jiuxianzai.cn/api/applet/home/index/schoolDetail/d34c7f35ef107ae49663865d4d6ed3ab；经人数与最低录取线校验的名单图：https://jiuxianzai.oss-cn-beijing.aliyuncs.com/kaoyan/2024/04/18/8df1f60229e94fd6828f286e89ca8140.png</t>
  </si>
  <si>
    <t>就现在考研小程序院校模块（2026-08-14读取）：https://admin.jiuxianzai.cn/api/applet/home/index/schoolDetail/d34c7f35ef107ae49663865d4d6ed3ab；经人数与最低录取线校验的名单图：https://jiuxianzai.oss-cn-beijing.aliyuncs.com/kaoyan/2025/04/07/51374c2ece76434c8f02a4a478ca7eca.png</t>
  </si>
  <si>
    <t>就现在考研小程序院校模块（2026-08-14读取）：https://admin.jiuxianzai.cn/api/applet/home/index/schoolDetail/d34c7f35ef107ae49663865d4d6ed3ab；经人数与最低录取线校验的名单图：https://jiuxianzai.oss-cn-beijing.aliyuncs.com/kaoyan/2026/05/15/cb7df6e854a34228bace236a15853db2.png；卡方2026录取名单专辑交叉验证：录取线341 | 2026年中国药科大学公布拟录取名单10人 https://mp.weixin.qq.com/s?__biz=MzIxNTM0MjQ3OA==&amp;mid=2247511628&amp;idx=6&amp;sn=a5c2186df33b28af825e59984c0eebcf&amp;chksm=979b22ada0ecabbb7e97b07a372a7dbc686d2478d6ad6aebd96deea7a586c10dcb3534a310c2#rd</t>
  </si>
  <si>
    <t>就现在考研小程序院校模块（2026-08-14读取）：https://admin.jiuxianzai.cn/api/applet/home/index/schoolDetail/bb42e207bb8a2e53858470a27f5ad5da</t>
  </si>
  <si>
    <t>就现在考研小程序院校模块（2026-08-14读取）：https://admin.jiuxianzai.cn/api/applet/home/index/schoolDetail/bb42e207bb8a2e53858470a27f5ad5da；经人数与最低录取线校验的名单图：https://jiuxianzai.oss-cn-beijing.aliyuncs.com/kaoyan/2023/06/01/b1d251e55d3e406a92b92977e7d59f9a.png</t>
  </si>
  <si>
    <t>就现在考研小程序院校模块（2026-08-14读取）：https://admin.jiuxianzai.cn/api/applet/home/index/schoolDetail/bb42e207bb8a2e53858470a27f5ad5da；经人数与最低录取线校验的名单图：https://jiuxianzai.oss-cn-beijing.aliyuncs.com/kaoyan/2024/05/06/05e1af75ec3842b585ae513c4c89f212.png</t>
  </si>
  <si>
    <t>就现在考研小程序院校模块（2026-08-14读取）：https://admin.jiuxianzai.cn/api/applet/home/index/schoolDetail/bb42e207bb8a2e53858470a27f5ad5da；经人数与最低录取线校验的名单图：https://jiuxianzai.oss-cn-beijing.aliyuncs.com/kaoyan/2026/05/15/d4c0f695f05c408789cda8684d68bec2.png</t>
  </si>
  <si>
    <t>就现在考研小程序院校模块（2026-08-14读取）：https://admin.jiuxianzai.cn/api/applet/home/index/schoolDetail/88540866545179766343bb45cdac824b</t>
  </si>
  <si>
    <t>就现在考研小程序院校模块（2026-08-14读取）：https://admin.jiuxianzai.cn/api/applet/home/index/schoolDetail/88540866545179766343bb45cdac824b；经人数与最低录取线校验的名单图：https://jiuxianzai.oss-cn-beijing.aliyuncs.com/kaoyan/2024/05/01/6c3d5b89996f4e05814544e90363cc17.png</t>
  </si>
  <si>
    <t>就现在考研小程序院校模块（2026-08-14读取）：https://admin.jiuxianzai.cn/api/applet/home/index/schoolDetail/88540866545179766343bb45cdac824b；经人数与最低录取线校验的名单图：https://jiuxianzai.oss-cn-beijing.aliyuncs.com/kaoyan/2025/04/07/06d741960da34f9daee557267dc73175.png</t>
  </si>
  <si>
    <t>就现在考研小程序院校模块（2026-08-14读取）：https://admin.jiuxianzai.cn/api/applet/home/index/schoolDetail/88540866545179766343bb45cdac824b；经人数与最低录取线校验的名单图：https://jiuxianzai.oss-cn-beijing.aliyuncs.com/kaoyan/2026/05/15/c4b4a75aaa3b4256a3442738ab26b35c.png；卡方2026录取名单专辑交叉验证：录取线326 | 2026年华中农业大学公布拟录取名单6人 https://mp.weixin.qq.com/s?__biz=MzIxNTM0MjQ3OA==&amp;mid=2247511575&amp;idx=5&amp;sn=cc64c47872796ddae6296c4f93366a0e&amp;chksm=979b22f6a0ecabe092be3840bdb2729237fbb83fd50f839356d6c7144b2a50e286c33c3b6de6#rd</t>
  </si>
  <si>
    <t>就现在考研小程序院校模块（2026-08-14读取）：https://admin.jiuxianzai.cn/api/applet/home/index/schoolDetail/d6afc64ca7e548b14b98bd2d9c265bea</t>
  </si>
  <si>
    <t>就现在考研小程序院校模块（2026-08-14读取）：https://admin.jiuxianzai.cn/api/applet/home/index/schoolDetail/d6afc64ca7e548b14b98bd2d9c265bea；卡方2026录取名单专辑交叉验证：录取线383 | 2026年安徽大学公布拟录取名单58+2人 https://mp.weixin.qq.com/s?__biz=MzIxNTM0MjQ3OA==&amp;mid=2247512178&amp;idx=5&amp;sn=ffdf3b184d289434928328133667a8b5&amp;chksm=979b3c93a0ecb5850f580ea885a19a08ccba4243405746bf2df22d09f026f1b74ed6d37ed0a4#rd；统计战线小程序2026复试名单图人工下滑复核：绿色为未拟录取；与卡方标题58+2人闭合。分布及复录比按普通计划58人/71人，剔除2名士兵专项。</t>
  </si>
  <si>
    <t>就现在考研小程序院校模块（2026-08-14读取）：https://admin.jiuxianzai.cn/api/applet/home/index/schoolDetail/92409f535f3f0472316ebdcce9011b20</t>
  </si>
  <si>
    <t>就现在考研小程序院校模块（2026-08-14读取）：https://admin.jiuxianzai.cn/api/applet/home/index/schoolDetail/92409f535f3f0472316ebdcce9011b20；经人数与最低录取线校验的名单图：https://jiuxianzai.oss-cn-beijing.aliyuncs.com/kaoyan/2024/04/09/e5231dd64f884aac9230a370f0f5d15d.png</t>
  </si>
  <si>
    <t>就现在考研小程序院校模块（2026-08-14读取）：https://admin.jiuxianzai.cn/api/applet/home/index/schoolDetail/92409f535f3f0472316ebdcce9011b20；经人数与最低录取线校验的名单图：https://jiuxianzai.oss-cn-beijing.aliyuncs.com/kaoyan/2026/05/15/c89ff433e8b548d8bb845a7b608a0d2b.png；卡方2026录取名单专辑交叉验证：收调剂，录取线372 | 2026年南京农业大学公布拟录取名单4人 https://mp.weixin.qq.com/s?__biz=MzIxNTM0MjQ3OA==&amp;mid=2247511654&amp;idx=5&amp;sn=ce40129d82172a6c54705fa3acaccf34&amp;chksm=979b2287a0ecab912dc5b898bf63256a48289b904d5bc1009bf29b56bca14a1840fa914280c0#rd</t>
  </si>
  <si>
    <t>就现在考研小程序院校模块（2026-08-14读取）：https://admin.jiuxianzai.cn/api/applet/home/index/schoolDetail/181e45a7493304a18ae20dff6881a87c</t>
  </si>
  <si>
    <t>就现在考研小程序院校模块（2026-08-14读取）：https://admin.jiuxianzai.cn/api/applet/home/index/schoolDetail/181e45a7493304a18ae20dff6881a87c；经人数与最低录取线校验的名单图：https://jiuxianzai.oss-cn-beijing.aliyuncs.com/kaoyan/2026/05/15/cc82f424fd7142eea802e75eceaee1b0.png；卡方2026录取名单专辑交叉验证：等额录取，录取线345 | 2026年东北农业大学公布拟录取名单4人 https://mp.weixin.qq.com/s?__biz=MzIxNTM0MjQ3OA==&amp;mid=2247511621&amp;idx=6&amp;sn=d3b190d1a884778e366f0c423ee3a480&amp;chksm=979b22a4a0ecabb24f8a82c6dbcecd699d19d0174a90007886e86ddd54b94423c517fd59b71e#rd</t>
  </si>
  <si>
    <t>就现在考研小程序院校模块（2026-08-14读取）：https://admin.jiuxianzai.cn/api/applet/home/index/schoolDetail/76c645e37f82e3b5a60079064582f4d4</t>
  </si>
  <si>
    <t>就现在考研小程序院校模块（2026-08-14读取）：https://admin.jiuxianzai.cn/api/applet/home/index/schoolDetail/76c645e37f82e3b5a60079064582f4d4；经人数与最低录取线校验的名单图：https://jiuxianzai.oss-cn-beijing.aliyuncs.com/kaoyan/2024/04/08/391e27e6ffbd4557a18d0dab46945a95.png</t>
  </si>
  <si>
    <t>就现在考研小程序院校模块（2026-08-14读取）：https://admin.jiuxianzai.cn/api/applet/home/index/schoolDetail/76c645e37f82e3b5a60079064582f4d4；经人数与最低录取线校验的名单图：https://jiuxianzai.oss-cn-beijing.aliyuncs.com/kaoyan/2025/04/07/d6a4fac653064a3982719bbc5cd337a5.png</t>
  </si>
  <si>
    <t>就现在考研小程序院校模块（2026-08-14读取）：https://admin.jiuxianzai.cn/api/applet/home/index/schoolDetail/76c645e37f82e3b5a60079064582f4d4；经人数与最低录取线校验的名单图：https://jiuxianzai.oss-cn-beijing.aliyuncs.com/kaoyan/2026/05/15/ff11a112d8fe4ff1b1c3afe352c495af.png；卡方2026录取名单专辑交叉验证：录取线326 | 2026年东北林业大学公布拟录取名单21人 https://mp.weixin.qq.com/s?__biz=MzIxNTM0MjQ3OA==&amp;mid=2247511562&amp;idx=4&amp;sn=3331b4d5c29be098d85a919e8c82770e&amp;chksm=979b22eba0ecabfdbb5a5a6ed18e176635eae4bbd70c8a7f8ef380128312eebd3355f50e7ccb#rd</t>
  </si>
  <si>
    <t>就现在考研小程序院校模块（2026-08-14读取）：https://admin.jiuxianzai.cn/api/applet/home/index/schoolDetail/153f02b8efd30492688680311b1468e8</t>
  </si>
  <si>
    <t>378（小程序院校模块；待官网复核）</t>
    <phoneticPr fontId="9" type="noConversion"/>
  </si>
  <si>
    <t>就现在考研小程序院校模块（2026-08-14读取）：https://admin.jiuxianzai.cn/api/applet/home/index/schoolDetail/153f02b8efd30492688680311b1468e8；经人数与最低录取线校验的名单图：https://jiuxianzai.oss-cn-beijing.aliyuncs.com/kaoyan/2023/04/13/1949af07b49e46c0a3a2a670680ccb0a.png</t>
  </si>
  <si>
    <t>就现在考研小程序院校模块（2026-08-14读取）：https://admin.jiuxianzai.cn/api/applet/home/index/schoolDetail/153f02b8efd30492688680311b1468e8；经人数与最低录取线校验的名单图：https://jiuxianzai.oss-cn-beijing.aliyuncs.com/kaoyan/2024/04/14/826a5f9c3706410190cafba06d51d9fb.png</t>
  </si>
  <si>
    <t>就现在考研小程序院校模块（2026-08-14读取）：https://admin.jiuxianzai.cn/api/applet/home/index/schoolDetail/153f02b8efd30492688680311b1468e8；经人数与最低录取线校验的名单图：https://jiuxianzai.oss-cn-beijing.aliyuncs.com/kaoyan/2026/05/15/5c03395d1e674b6191d6374486ad2aeb.png；卡方2026录取名单专辑交叉验证：录取线316 | 2026年延边大学公布拟录取名单6人 https://mp.weixin.qq.com/s?__biz=MzIxNTM0MjQ3OA==&amp;mid=2247511546&amp;idx=7&amp;sn=69ae311b5e66497f6eb9d58498ce3f7a&amp;chksm=979b211ba0eca80da411fd5963c46580d6e5afe89fc2d84afce7ec693f35c8608490d9f949d5#rd</t>
  </si>
  <si>
    <t>就现在考研小程序院校模块（2026-08-14读取）：https://admin.jiuxianzai.cn/api/applet/home/index/schoolDetail/191ded25342ea6e5d4a475c2d76ce694</t>
  </si>
  <si>
    <t>336（小程序院校模块；待官网复核）</t>
    <phoneticPr fontId="9" type="noConversion"/>
  </si>
  <si>
    <t>就现在考研小程序院校模块（2026-08-14读取）：https://admin.jiuxianzai.cn/api/applet/home/index/schoolDetail/191ded25342ea6e5d4a475c2d76ce694；卡方2026录取名单专辑交叉验证：录取线339 | 2026年云南大学公布拟录取名单145人 https://mp.weixin.qq.com/s?__biz=MzIxNTM0MjQ3OA==&amp;mid=2247512364&amp;idx=5&amp;sn=c18e8f475a7acdb8c297b816077f214d&amp;chksm=979b3dcda0ecb4dbaa95c1a59937db8f6d8f51ae59026a544f8be46bc7807f9e28305a07c0a6#rd；统计战线小程序2026名单图逐页复核：名单165行，绿色20人为未拟录取，白色145人拟录取；第76名拟录取考生初试364，故中位364，最低339、最高419。与卡方文章‘145人’闭合。</t>
  </si>
  <si>
    <t>就现在考研小程序院校模块（2026-08-14读取）：https://admin.jiuxianzai.cn/api/applet/home/index/schoolDetail/3bfd37b14412a43b3e531fe8705c8fa8</t>
  </si>
  <si>
    <t>就现在考研小程序院校模块（2026-08-14读取）：https://admin.jiuxianzai.cn/api/applet/home/index/schoolDetail/3bfd37b14412a43b3e531fe8705c8fa8；经人数与最低录取线校验的名单图：https://jiuxianzai.oss-cn-beijing.aliyuncs.com/kaoyan/2024/04/08/1e3483948d284a7fa026f3fc8f52443f.png</t>
  </si>
  <si>
    <t>就现在考研小程序院校模块（2026-08-14读取）：https://admin.jiuxianzai.cn/api/applet/home/index/schoolDetail/3bfd37b14412a43b3e531fe8705c8fa8；经人数与最低录取线校验的名单图：https://jiuxianzai.oss-cn-beijing.aliyuncs.com/kaoyan/2025/04/07/74b361390ac5432a88b9a3b76c47ca38.png</t>
  </si>
  <si>
    <t>就现在考研小程序院校模块（2026-08-14读取）：https://admin.jiuxianzai.cn/api/applet/home/index/schoolDetail/3bfd37b14412a43b3e531fe8705c8fa8；经人数与最低录取线校验的名单图：https://jiuxianzai.oss-cn-beijing.aliyuncs.com/kaoyan/2026/05/15/48b8d0295cb848b88f35bf12b8a1998c.png；卡方2026录取名单专辑交叉验证：录取线323 | 2026年贵州大学公布拟录取名单48人 https://mp.weixin.qq.com/s?__biz=MzIxNTM0MjQ3OA==&amp;mid=2247511546&amp;idx=6&amp;sn=d09114d7109c36313dad295bcbda7fcb&amp;chksm=979b211ba0eca80d67c0d715e590b229d3e56a877ee2227cfb515639ca659b7e402ff1bf46d0#rd</t>
  </si>
  <si>
    <t>就现在考研小程序院校模块（2026-08-14读取）：https://admin.jiuxianzai.cn/api/applet/home/index/schoolDetail/38d0d593bfb474f42e2658c50e3b0cee</t>
  </si>
  <si>
    <t>338（小程序院校模块；待官网复核）</t>
    <phoneticPr fontId="9" type="noConversion"/>
  </si>
  <si>
    <t>就现在考研小程序院校模块（2026-08-14读取）：https://admin.jiuxianzai.cn/api/applet/home/index/schoolDetail/38d0d593bfb474f42e2658c50e3b0cee；经人数与最低录取线校验的名单图：https://jiuxianzai.oss-cn-beijing.aliyuncs.com/kaoyan/2026/05/15/0549154548634c448801570a46b705c4.png；卡方2026录取名单专辑交叉验证：仅淘汰2人，录取线315 | 2026年内蒙古大学公布拟录取名单44人 https://mp.weixin.qq.com/s?__biz=MzIxNTM0MjQ3OA==&amp;mid=2247511761&amp;idx=4&amp;sn=6d50e932ab7c9414c6d1c078774b0cdc&amp;chksm=979b2230a0ecab264c04b342cb3b29eecd2b5c58ab7424e188b48b31642976cfcaf94dcefc5b#rd</t>
  </si>
  <si>
    <t>就现在考研小程序院校模块（2026-08-14读取）：https://admin.jiuxianzai.cn/api/applet/home/index/schoolDetail/b315329ed2a27f19f095c3b25ce12c51；经人数与最低录取线校验的名单图：https://jiuxianzai.oss-cn-beijing.aliyuncs.com/kaoyan/2022/04/18/93d08176eb0441ad9ac4ab478fd47dae.png</t>
  </si>
  <si>
    <t>就现在考研小程序院校模块（2026-08-14读取）：https://admin.jiuxianzai.cn/api/applet/home/index/schoolDetail/b315329ed2a27f19f095c3b25ce12c51</t>
  </si>
  <si>
    <t>就现在考研小程序院校模块（2026-08-14读取）：https://admin.jiuxianzai.cn/api/applet/home/index/schoolDetail/4fbd4b8789c924e2451381c240420e77</t>
  </si>
  <si>
    <t>就现在考研小程序院校模块（2026-08-14读取）：https://admin.jiuxianzai.cn/api/applet/home/index/schoolDetail/4fbd4b8789c924e2451381c240420e77；经人数与最低录取线校验的名单图：https://jiuxianzai.oss-cn-beijing.aliyuncs.com/kaoyan/2025/04/09/a5b5fd0b034e4f6dbc597399095feb69.png</t>
  </si>
  <si>
    <t>就现在考研小程序院校模块（2026-08-14读取）：https://admin.jiuxianzai.cn/api/applet/home/index/schoolDetail/4fbd4b8789c924e2451381c240420e77；经人数与最低录取线校验的名单图：https://jiuxianzai.oss-cn-beijing.aliyuncs.com/kaoyan/2026/05/15/bbbe5c78d88e499e99c36f83a1577e39.png；卡方2026录取名单专辑交叉验证：录取线314｜2026年宁夏大学公布公布拟录取名单22人 https://mp.weixin.qq.com/s?__biz=MzIxNTM0MjQ3OA==&amp;mid=2247511665&amp;idx=6&amp;sn=8ec0994d21b1b251d813ab6d781c5e96&amp;chksm=979b2290a0ecab8644fce28b2f27ef353ce764a91d7effd81e59c0ea791e036431ae738d7914#rd</t>
  </si>
  <si>
    <t>就现在考研小程序院校模块（2026-08-14读取）：https://admin.jiuxianzai.cn/api/applet/home/index/schoolDetail/e15b657c1ff4c22efadc28fe8c94ac23</t>
  </si>
  <si>
    <t>就现在考研小程序院校模块（2026-08-14读取）：https://admin.jiuxianzai.cn/api/applet/home/index/schoolDetail/e15b657c1ff4c22efadc28fe8c94ac23；经人数与最低录取线校验的名单图：https://jiuxianzai.oss-cn-beijing.aliyuncs.com/kaoyan/2026/05/15/565068063a81423096af92f44b3b91c5.png；卡方2026录取名单专辑交叉验证：等额录取，录取线355 | 2026年石河子大学公布拟录取名单2人 https://mp.weixin.qq.com/s?__biz=MzIxNTM0MjQ3OA==&amp;mid=2247511770&amp;idx=5&amp;sn=8696aa71de4a3ea9e45740b18e1f001e&amp;chksm=979b223ba0ecab2d16ad4a9cb9c35e29b026c8efb3e49d651492d09682ffeafc7f6babdd41b5#rd</t>
  </si>
  <si>
    <t>2022</t>
    <phoneticPr fontId="9" type="noConversion"/>
  </si>
  <si>
    <t>2026：1.27</t>
    <phoneticPr fontId="9" type="noConversion"/>
  </si>
  <si>
    <t>2025官方参考书；2026目录未见新版，须考前复核</t>
    <phoneticPr fontId="9" type="noConversion"/>
  </si>
  <si>
    <t>最低录取线/复录比已优先用官网与小程序院校模块补齐；中位数仅在名单图与录取人数、最低分闭合时写入；本科背景仍不作推断。</t>
    <phoneticPr fontId="9" type="noConversion"/>
  </si>
  <si>
    <t>2022、2023（缺中位）、2025（缺中位）</t>
    <phoneticPr fontId="9" type="noConversion"/>
  </si>
  <si>
    <t>2026：1.16</t>
    <phoneticPr fontId="9" type="noConversion"/>
  </si>
  <si>
    <t>2022（缺最低）、2023（缺中位）</t>
    <phoneticPr fontId="9" type="noConversion"/>
  </si>
  <si>
    <t>2026：1.23</t>
    <phoneticPr fontId="9" type="noConversion"/>
  </si>
  <si>
    <t>官方目录未指定；不以机构书单冒充官方</t>
    <phoneticPr fontId="9" type="noConversion"/>
  </si>
  <si>
    <t>2022（缺中位）、2023（缺最低）</t>
    <phoneticPr fontId="9" type="noConversion"/>
  </si>
  <si>
    <t>2026：1.42</t>
    <phoneticPr fontId="9" type="noConversion"/>
  </si>
  <si>
    <t>2026官方考试大纲指定</t>
    <phoneticPr fontId="9" type="noConversion"/>
  </si>
  <si>
    <t>2026：0.41</t>
    <phoneticPr fontId="9" type="noConversion"/>
  </si>
  <si>
    <t>2022、2023（缺中位）、2024（缺中位）、2025（缺中位）</t>
    <phoneticPr fontId="9" type="noConversion"/>
  </si>
  <si>
    <t>2026：1.07</t>
    <phoneticPr fontId="9" type="noConversion"/>
  </si>
  <si>
    <t>2027官方考试大纲指定</t>
    <phoneticPr fontId="9" type="noConversion"/>
  </si>
  <si>
    <t>2022（缺最低）、2025（缺中位）</t>
    <phoneticPr fontId="9" type="noConversion"/>
  </si>
  <si>
    <t>无</t>
    <phoneticPr fontId="9" type="noConversion"/>
  </si>
  <si>
    <t>2026：1.75</t>
    <phoneticPr fontId="9" type="noConversion"/>
  </si>
  <si>
    <t>2022、2023（缺中位）</t>
    <phoneticPr fontId="9" type="noConversion"/>
  </si>
  <si>
    <t>2026：1.17</t>
    <phoneticPr fontId="9" type="noConversion"/>
  </si>
  <si>
    <t>2026：1.19</t>
    <phoneticPr fontId="9" type="noConversion"/>
  </si>
  <si>
    <t>最低录取线/复录比已优先用官网与小程序院校模块补齐；中位数仅在名单图与录取人数、最低分闭合时写入；本科背景仍不作推断。；2026正文/名单图已在微信内置浏览器逐页下滑复核；中位数按可闭合的普通计划口径写入</t>
    <phoneticPr fontId="9" type="noConversion"/>
  </si>
  <si>
    <t>2026：1.33</t>
    <phoneticPr fontId="9" type="noConversion"/>
  </si>
  <si>
    <t>2022、2023、2025（缺中位）</t>
    <phoneticPr fontId="9" type="noConversion"/>
  </si>
  <si>
    <t>2026：1.25</t>
    <phoneticPr fontId="9" type="noConversion"/>
  </si>
  <si>
    <t>2026：0.58</t>
    <phoneticPr fontId="9" type="noConversion"/>
  </si>
  <si>
    <t>2022（缺最低）、2023、2024（缺中位）</t>
    <phoneticPr fontId="9" type="noConversion"/>
  </si>
  <si>
    <t>2026：1.22</t>
    <phoneticPr fontId="9" type="noConversion"/>
  </si>
  <si>
    <t>2022（缺中位）、2023（缺中位）</t>
    <phoneticPr fontId="9" type="noConversion"/>
  </si>
  <si>
    <t>2026：1.65</t>
    <phoneticPr fontId="9" type="noConversion"/>
  </si>
  <si>
    <t>2025：1.00</t>
    <phoneticPr fontId="9" type="noConversion"/>
  </si>
  <si>
    <t>2026：1.56</t>
    <phoneticPr fontId="9" type="noConversion"/>
  </si>
  <si>
    <t>2022、2023（缺中位）、2026（缺中位）</t>
    <phoneticPr fontId="9" type="noConversion"/>
  </si>
  <si>
    <t>2026：1.30</t>
    <phoneticPr fontId="9" type="noConversion"/>
  </si>
  <si>
    <t>2026：1.15</t>
    <phoneticPr fontId="9" type="noConversion"/>
  </si>
  <si>
    <t>缺失/未闭合</t>
    <phoneticPr fontId="9" type="noConversion"/>
  </si>
  <si>
    <t>官方旧（2023）；2026交互目录待复核，不标作最新指定教材</t>
    <phoneticPr fontId="9" type="noConversion"/>
  </si>
  <si>
    <t>2022、2023（缺中位）、2024（缺中位）</t>
    <phoneticPr fontId="9" type="noConversion"/>
  </si>
  <si>
    <t>2026：1.41</t>
    <phoneticPr fontId="9" type="noConversion"/>
  </si>
  <si>
    <t>2026：1.24</t>
    <phoneticPr fontId="9" type="noConversion"/>
  </si>
  <si>
    <t>2022（缺最低）、2023（缺中位）、2025（缺中位）</t>
    <phoneticPr fontId="9" type="noConversion"/>
  </si>
  <si>
    <t>2026：1.00</t>
    <phoneticPr fontId="9" type="noConversion"/>
  </si>
  <si>
    <t>2022、2023</t>
    <phoneticPr fontId="9" type="noConversion"/>
  </si>
  <si>
    <t>2026：1.28</t>
    <phoneticPr fontId="9" type="noConversion"/>
  </si>
  <si>
    <t>最低录取线/复录比已优先用官网与小程序院校模块补齐；中位数仅在名单图与录取人数、最低分闭合时写入；本科背景仍不作推断。；2026名单图已人工下滑复核，中位数按普通计划口径写入。</t>
    <phoneticPr fontId="9" type="noConversion"/>
  </si>
  <si>
    <t>2026：1.37</t>
    <phoneticPr fontId="9" type="noConversion"/>
  </si>
  <si>
    <t>2022、2023（缺中位）、2025（缺中位）、2026</t>
    <phoneticPr fontId="9" type="noConversion"/>
  </si>
  <si>
    <t>2025：1.31</t>
    <phoneticPr fontId="9" type="noConversion"/>
  </si>
  <si>
    <t>2026：1.20</t>
    <phoneticPr fontId="9" type="noConversion"/>
  </si>
  <si>
    <t>2022、2023、2024、2025（缺中位）</t>
    <phoneticPr fontId="9" type="noConversion"/>
  </si>
  <si>
    <t>2026：1.90</t>
    <phoneticPr fontId="9" type="noConversion"/>
  </si>
  <si>
    <t>2026：1.29</t>
    <phoneticPr fontId="9" type="noConversion"/>
  </si>
  <si>
    <t>2026：1.57</t>
    <phoneticPr fontId="9" type="noConversion"/>
  </si>
  <si>
    <t>2026：1.59</t>
    <phoneticPr fontId="9" type="noConversion"/>
  </si>
  <si>
    <t>2022、2023、2024</t>
    <phoneticPr fontId="9" type="noConversion"/>
  </si>
  <si>
    <t>2026：1.40</t>
    <phoneticPr fontId="9" type="noConversion"/>
  </si>
  <si>
    <t>2026：1.18</t>
    <phoneticPr fontId="9" type="noConversion"/>
  </si>
  <si>
    <t>2026：1.50</t>
    <phoneticPr fontId="9" type="noConversion"/>
  </si>
  <si>
    <t>2026官方考试大纲列示</t>
    <phoneticPr fontId="9" type="noConversion"/>
  </si>
  <si>
    <t>2022（缺中位）</t>
    <phoneticPr fontId="9" type="noConversion"/>
  </si>
  <si>
    <t>2022（缺最低）、2023</t>
    <phoneticPr fontId="9" type="noConversion"/>
  </si>
  <si>
    <t>2026：1.05</t>
    <phoneticPr fontId="9" type="noConversion"/>
  </si>
  <si>
    <t>2026：1.35</t>
    <phoneticPr fontId="9" type="noConversion"/>
  </si>
  <si>
    <t>2026：1.80</t>
    <phoneticPr fontId="9" type="noConversion"/>
  </si>
  <si>
    <t>2022（缺中位）、2025（缺中位）</t>
    <phoneticPr fontId="9" type="noConversion"/>
  </si>
  <si>
    <t>2026：1.38</t>
    <phoneticPr fontId="9" type="noConversion"/>
  </si>
  <si>
    <t>2026：1.32</t>
    <phoneticPr fontId="9" type="noConversion"/>
  </si>
  <si>
    <t>2026：3.17</t>
    <phoneticPr fontId="9" type="noConversion"/>
  </si>
  <si>
    <t>2022、2025（缺中位）</t>
    <phoneticPr fontId="9" type="noConversion"/>
  </si>
  <si>
    <t>2026：1.21</t>
    <phoneticPr fontId="9" type="noConversion"/>
  </si>
  <si>
    <t>2026：1.10</t>
    <phoneticPr fontId="9" type="noConversion"/>
  </si>
  <si>
    <t>2022、2023、2025</t>
    <phoneticPr fontId="9" type="noConversion"/>
  </si>
  <si>
    <t>2026：1.14</t>
    <phoneticPr fontId="9" type="noConversion"/>
  </si>
  <si>
    <t>2026：1.52</t>
    <phoneticPr fontId="9" type="noConversion"/>
  </si>
  <si>
    <t>2022（缺最低）、2023（缺中位）、2024（缺中位）、2025（缺中位）、2026</t>
    <phoneticPr fontId="9" type="noConversion"/>
  </si>
  <si>
    <t>拟录取最低分优先取官方名单；官网未直接发布且主流应统机构提供明确最终录取线/结果名单时，按机构最新口径补齐并标注来源。中位数仅在名单逐人成绩、录取状态、录取人数和最低录取线同时闭合时计算。</t>
    <phoneticPr fontId="9" type="noConversion"/>
  </si>
  <si>
    <t>就现在考研小程序院校模块（统计战线）</t>
  </si>
  <si>
    <t>主流应统机构</t>
  </si>
  <si>
    <t>学制学费、初复试科目、参考书、复试线、最低录取线、复试/录取人数、结果名单</t>
  </si>
  <si>
    <t>https://admin.jiuxianzai.cn/api/applet/home/index/school</t>
  </si>
  <si>
    <t>2026-08-14只读读取；80/81校、108个培养单位；详情接口逐条留在年度备注。</t>
  </si>
  <si>
    <t>华东师大统计学院2026复试成绩</t>
  </si>
  <si>
    <t>拟录取人数、初试最低/中位/最高、复录比</t>
  </si>
  <si>
    <t>https://stat.ecnu.edu.cn/76/4a/c9708a751178/page.htm</t>
  </si>
  <si>
    <t>官方首批60名推荐拟录取；后续补录2人由卡方最新专辑与小程序当前62人名单双重闭环。最终最低392、中位407、最高439；72人复试。</t>
  </si>
  <si>
    <t>中国地大（北京）2026拟录取名单</t>
  </si>
  <si>
    <t>拟录取人数、初试最低/中位/最高</t>
  </si>
  <si>
    <t>https://bm.cugb.edu.cn/yjsyzsb/upload/resources/file/2026/04/10/302702.pdf</t>
  </si>
  <si>
    <t>普通全日制非定向12人；排除非全、单考和专项后最低380、中位400、最高430。</t>
  </si>
  <si>
    <t>华东师大统计学院2027考试变化预公告</t>
  </si>
  <si>
    <t>最新432参考教材与范围变化</t>
  </si>
  <si>
    <t>https://stat.ecnu.edu.cn/c2/dd/c9708a770781/page.htm</t>
  </si>
  <si>
    <t>指定茆诗松等第4版、贾俊平等第9版；最终以2027招生简章/目录为准。</t>
  </si>
  <si>
    <t>吉林大学2026应用统计结果名单</t>
  </si>
  <si>
    <t>主流应统机构名单图</t>
  </si>
  <si>
    <t>https://jiuxianzai.oss-cn-beijing.aliyuncs.com/kaoyan/2026/05/14/bb2e4ecdadfe486db188cb4f994d1467.png</t>
  </si>
  <si>
    <t>绿色明确标记未拟录取；与12复试/9录取及最低390闭合，中位403。</t>
  </si>
  <si>
    <t>卡方训练营26录取名单专辑</t>
  </si>
  <si>
    <t>2026拟录取最低线与人数交叉验证</t>
  </si>
  <si>
    <t>https://mp.weixin.qq.com/mp/appmsgalbum?action=getalbum&amp;__biz=MzIxNTM0MjQ3OA==&amp;album_id=4440486531434364928</t>
  </si>
  <si>
    <t>公开专辑101篇；80条与小程序2026最低线精确匹配，覆盖75所表内学校；明确补录更新1条。</t>
  </si>
  <si>
    <t>统计战线小程序2026名单图人工下滑复核</t>
  </si>
  <si>
    <t>2026拟录取最低/中位/最高、普通计划复录比</t>
  </si>
  <si>
    <t>逐页下滑并放大核对绿色未录取标记，再与卡方录取专辑人数闭合；本轮新增9校2026中位数。专项计划单列并从普通计划分布/复录比中剔除；无法闭合者不写。</t>
  </si>
  <si>
    <t>卡方训练营26录取名单正文逐页深读</t>
  </si>
  <si>
    <t>学校概况、复试内容、参考书、名单图、成绩分布</t>
  </si>
  <si>
    <t>微信内置浏览器已登录可见页面低频逐篇下滑；本轮重点闭合武汉大学、中南财经政法大学、中南大学、北京师范大学、云南大学2026拟录取分布，并补强3校复试细节。未抓登录态、未批量请求公众号接口。</t>
  </si>
  <si>
    <t>茆诗松《概率论与数理统计教程》；贾俊平《统计学》；李贤平《概率论》；韦来生《数理统计》；《线性统计模型》；《时间序列分析》；《应用多元统计分析》；就现在考研小程序院校模块（2026-08-14读取）：[1]《应用数理统计》（第3版），孙荣恒编著，科学出版社; [2]《应用多元统计分析》，高惠璇编著，北京大学出版社; [3]《概率论基础》（第3版），李贤平编著，高等教育出版社; [4]《时间序列分析及应用（R语言)》（第2版），J. D. Cryer; K.S.Chan 编著，机械工业出版社。
卡方《27最新版：高校应统考研的五大门派》（2026-08-08，经验教材/非官方；交叉验证补充，不覆盖既有官方信息）【茆Pro派】：茆诗松《概率论与数理统计教程》；孙荣恒《应用数理统计》；高惠璇《应用多元统计分析》；李贤平《概率论基础》；J. D. Cryer《时间序列分析及应用：R语言》；韦来生《数理统计》</t>
    <phoneticPr fontId="9" type="noConversion"/>
  </si>
  <si>
    <t>茆诗松《概率论与数理统计教程》；贾俊平《统计学》；韦来生《数理统计》；《线性统计模型》；《应用回归分析》；《时间序列分析》；《应用多元统计分析》；就现在考研小程序院校模块（2026-08-14读取）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</si>
  <si>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海报OCR未提取出可稳健命名的教材；就现在考研小程序院校模块（2026-08-14读取）：[1] 《概率论》 ，何书元，北京大学出版社。; [2] 《数理统计》，韦来生著， 科学出版社。;  [3] 《统计学》，贾俊平，何晓群，金勇进编著，中国人民大学出版社。;
卡方《27最新版：高校应统考研的五大门派》（2026-08-08，经验教材/非官方；交叉验证补充，不覆盖既有官方信息）【贾茆Pro派】：贾俊平《统计学》；茆诗松《概率论与数理统计教程》；何书元《概率论》；韦来生《数理统计》</t>
    <phoneticPr fontId="9" type="noConversion"/>
  </si>
  <si>
    <t>茆诗松《概率论与数理统计教程》；贾俊平《统计学》；李贤平《概率论》；韦来生《数理统计》；《线性统计模型》；《应用回归分析》；就现在考研小程序院校模块（2026-08-14读取）：[1]《统计学》（第三版），袁卫、庞皓、曾五一、贾俊平编，高等教育出版社，2009年; [2]《概率论与数理统计》，缪柏其、张伟平，高等教育出版社，2022年; [3]《应用回归分析》（第3版），何晓群，中国人民大学出版社，2011年。
卡方《27最新版：高校应统考研的五大门派》（2026-08-08，经验教材/非官方；交叉验证补充，不覆盖既有官方信息）【贾茆Pro派】：茆诗松《概率论与数理统计教程》；李贤平《概率论基础》；韦来生《数理统计》；何晓群《应用回归分析》；林建忠《回归分析与线性统计模型》；袁卫《统计学》</t>
    <phoneticPr fontId="9" type="noConversion"/>
  </si>
  <si>
    <t>茆诗松《概率论与数理统计教程》；贾俊平《统计学》；《应用多元统计分析》；《抽样技术》；就现在考研小程序院校模块（2026-08-14读取）：数学学院：[1]李洁明、祁新娥：《统计学原理》第8版，复旦大学出版社，2024年;[2]（美）罗斯著，梁宝生、童行伟译《概率论基础教程》（原书第10版）机械工业出版社，2022年；经济学院：[1]李洁明、祁新娥：《统计学原理》第8版，复旦大学出版社，2024年;[2]（美）罗斯著，梁宝生、童行伟译《概率论基础教程》（原书第10版）机械工业出版社，2022年
卡方《27最新版：高校应统考研的五大门派》（2026-08-08，经验教材/非官方；交叉验证补充，不覆盖既有官方信息）【贾茆派】：李洁明《统计学原理》第8版；茆诗松《概率论与数理统计教程》；贾俊平《统计学》；[美]罗斯著、梁宝生译《概率论基础教程》</t>
    <phoneticPr fontId="9" type="noConversion"/>
  </si>
  <si>
    <t>茆诗松《概率论与数理统计教程》；贾俊平《统计学》；李贤平《概率论》；《统计推断》（版本待海报视觉复核）；《应用多元统计分析》；就现在考研小程序院校模块（2026-08-14读取）：大数据学院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《概率论》（第2版），应坚刚，何萍编著，复旦大学出版社;初等概率论题目作为拔；数学科学学院：官方指定：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《概率论》（第2版），应坚刚，何萍编著，复旦大学出版社;初等概率论题目作为拔；上海数学中心：官方指定：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《概率论》（第2版），应坚刚，何萍编著，复旦大学出版社;初等概率论题目作为拔；上海数学与交叉学科研究院：官方指定：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</si>
  <si>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茆诗松《概率论与数理统计教程》；贾俊平《统计学》；《应用多元统计分析》；就现在考研小程序院校模块（2026-08-14读取）：[1]《概率论与数理统计教程》，茆诗松、程依明、濮晓龙 著，高等教育出版社，2011年版; [2]《统计学》，贾俊平 等编著，中国人民大学出版社。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</si>
  <si>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茆诗松《概率论与数理统计教程》；贾俊平《统计学》；李贤平《概率论》；韦来生《数理统计》；Casella &amp; Berger《统计推断》；《线性统计模型》；《应用多元统计分析》；就现在考研小程序院校模块（2026-08-14读取）：非官方，来自经验和历年真题：; [1] 《概率论与数理统计教程》（第3版），茆诗松，程依明，濮晓龙编著，高等教育出版社 ; [2] 《概率论与数理统计》，陈希孺，中国科学技术大学出版社; [3] 《数理统计学讲义》（第3版），陈家鼎，孙山泽等著，高等教育出版社; [4] 《数理统计》（第2版），韦来生编著，科学出版社。; [5] 《概率论基础》（第3版），李贤平，高等教育出版社;
卡方《27最新版：高校应统考研的五大门派》（2026-08-08，经验教材/非官方；交叉验证补充，不覆盖既有官方信息）【茆Pro派】：何书元《概率论》；Casella《统计推断》；茆诗松《概率论与数理统计教程》；韦来生《数理统计》；茆诗松《高等数理统计》；陈家鼎《数理统计学》</t>
    <phoneticPr fontId="9" type="noConversion"/>
  </si>
  <si>
    <t>茆诗松《概率论与数理统计教程》；贾俊平《统计学》；韦来生《数理统计》；《时间序列分析》；《应用多元统计分析》；《抽样技术》；就现在考研小程序院校模块（2026-08-14读取）：非官方，来自经验和历年真题：; [1] 《概率论与数理统计》（第3版），刘次华，万建平华中科技大学出版社; [2] 《统计学原理》，黄良文，曾五一，中国统计出版社，2008; [3] 《概率论与数理统计教程》（第3版），茆诗松，程依明，濮晓龙编著，高等教育出版社。
卡方《27最新版：高校应统考研的五大门派》（2026-08-08，经验教材/非官方；交叉验证补充，不覆盖既有官方信息）【贾茆派】：贾俊平《统计学》；茆诗松《概率论与数理统计教程》；黄文良《统计学原理》</t>
    <phoneticPr fontId="9" type="noConversion"/>
  </si>
  <si>
    <t>茆诗松《概率论与数理统计教程》；贾俊平《统计学》；《应用回归分析》；《时间序列分析》；《应用多元统计分析》；《计量经济学》；就现在考研小程序院校模块（2026-08-14读取）：统计学院（03方向）：非官方，来自经验和历年真题：; [1] 《概率论与数理统计教程》（第3版），茆诗松等著，高等教育出版社; [2] 《应用回归分析》（第5版），何晓群，人大出版社; [3] 《多元统计分析》（第5版），何晓群，人大出版社; [4] 《时间序列分析及其应用》，[美] 罗伯特等，机械工业出版社; [5] 《统计学》（第8版），贾俊平，何晓群，金勇进编著， 人大出版社（略微了解即可）。；统计学院（02方向）：非官方，来自经验和历年真题：; [1] 《概率论与数理统计教程》（第3版），茆诗松等著，高等教育出版社; [2] 《应用回归分析》（第5版），何晓群，人大出版社; [3] 《多元统计分析》（第5版），何晓群，人大出版社; [4] 《时间序列分析及其应用》，[美] 罗伯特等，机械工业出版社; [5] 《统计学》（第8版），贾俊平，何晓群，金勇进编著， 人大出版社（略微了解即可）。；统计学院（01方向）：非官方，来自经验和历年真题：; [1] 《概率论与数理统计教程》（第3版），茆诗松等著，高等教育出版社; [2] 《应用回归分析》（第5版），何晓群，人大出版社; [3] 《多元统计分析》（第5版），何晓群，人大出版社; [4] 《时间序列分析及其应用》，[美] 罗伯特等，机械工业出版社; [5] 《统计学》（第8版），贾俊平，何晓群，金勇进编著， 人大出版社（略微了解即可）。
卡方《27最新版：高校应统考研的五大门派》（2026-08-08，经验教材/非官方；交叉验证补充，不覆盖既有官方信息）【贾茆Pro派】：贾俊平《统计学》；茆诗松《概率论与数理统计教程》；李勇《统计学导论》；何晓群《应用回归分析》；高惠璇《应用多元统计分析》；王燕《应用时间序列分析》；李子奈《计量经济学》</t>
    <phoneticPr fontId="9" type="noConversion"/>
  </si>
  <si>
    <t>未覆盖；就现在考研小程序院校模块（2026-08-14读取）：[1]《 概率论与数理统计》（第2版），徐宗本总主编，何书元主编，高等教育出版社，2024年5月出版; [2]《数据科学导引》，欧高炎、朱占星、董彬、鄂维南编，高等教育出版社，2017年12月出版。
卡方《27最新版：高校应统考研的五大门派》（2026-08-08，经验教材/非官方；交叉验证补充，不覆盖既有官方信息）【茆Pro派】：茆诗松《概率论与数理统计教程》；徐宗本《概率论与数理统计》；欧高炎《数据科学导引》</t>
    <phoneticPr fontId="9" type="noConversion"/>
  </si>
  <si>
    <t>茆诗松《概率论与数理统计教程》；贾俊平《统计学》；就现在考研小程序院校模块（2026-08-14读取）：[1]《概率论与数理统计教程》（第3版），茆诗松，程依明，濮晓龙编著，高等教育出版社; [2]《概率论与数理统计(第三版)习题解答》（第1版），茆诗松、程依明、濮晓龙等，高等教育出版社。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</si>
  <si>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茆诗松《概率论与数理统计教程》；贾俊平《统计学》；《时间序列分析》；《计量经济学》；就现在考研小程序院校模块（2026-08-14读取）：经济与金融学院：[1] 《统计学》（第8版）， 贾俊平，何晓群，金勇进，中国人民大学出版社; [2] 《计量经济学》（第5版）， 李子奈，潘文卿，高等教育出版社; [3] 《计量经济学导论》（第5版），杰弗里·M·伍德里奇，中国人民大学出版社; 注：25年参考书去掉了袁卫《统计学》，建议学有余力同学补充学习。；数学与统计学院：[1] 《统计学》（第8版）， 贾俊平，何晓群，金勇进，中国人民大学出版社; [2] 《计量经济学》（第5版）， 李子奈，潘文卿，高等教育出版社; [3] 《计量经济学导论》（第5版），杰弗里·M·伍德里奇，中国人民大学出版社; 注：25年参考书去掉了袁卫《统计学》，建议学有余力同学补充学习。
卡方《27最新版：高校应统考研的五大门派》（2026-08-08，经验教材/非官方；交叉验证补充，不覆盖既有官方信息）【贾茆Pro派】：茆诗松《概率论与数理统计教程》；贾俊平《统计学》；伍德里奇《计量经济学导论》；李子奈《计量经济学》</t>
    <phoneticPr fontId="9" type="noConversion"/>
  </si>
  <si>
    <t>茆诗松《概率论与数理统计教程》；贾俊平《统计学》；《应用回归分析》；《时间序列分析》；《应用多元统计分析》；《抽样技术》；就现在考研小程序院校模块（2026-08-14读取）：432统计学，贾俊平系列，中国人民大学出版社。; 非官方，来自经验和历年真题：; [1] 《统计学》（第8版），贾俊平，何晓群，金勇进编著， 中国人民大学出版社，2021年出版; [2]《 统计学原理》，杨金秀，中南大学出版社。
卡方《27最新版：高校应统考研的五大门派》（2026-08-08，经验教材/非官方；交叉验证补充，不覆盖既有官方信息）【贾茆Pro派】：贾俊平《统计学》；杨金秀《统计学原理》；何晓群《应用回归分析》；茆诗松《概率论与数理统计教程》</t>
    <phoneticPr fontId="9" type="noConversion"/>
  </si>
  <si>
    <t>茆诗松《概率论与数理统计教程》；贾俊平《统计学》；《应用回归分析》；《应用多元统计分析》；就现在考研小程序院校模块（2026-08-14读取）：非官方，来自经验和历年真题：; [1] 《统计学》，贾俊平，清华出版社。; [2] 《应用回归分析》（第5版），何晓群，中国人民大学出版社;
卡方《27最新版：高校应统考研的五大门派》（2026-08-08，经验教材/非官方；交叉验证补充，不覆盖既有官方信息）【纯贾派】：贾俊平《统计学》；何晓群《应用回归分析》</t>
    <phoneticPr fontId="9" type="noConversion"/>
  </si>
  <si>
    <t>未覆盖；就现在考研小程序院校模块（2026-08-14读取）：[1] 《概率论基础》（第3版），李贤平，北京：高等教育出版社，2010; [2] 《数理统计学讲义》（第3版），陈家鼎，孙山泽，李东风，刘力平，北京：高等教育出版社，2015; [3] 《数理统计》（第4版），师义民，徐伟，秦超英，许勇，北京：科学出版社，2015。
卡方《27最新版：高校应统考研的五大门派》（2026-08-08，经验教材/非官方；交叉验证补充，不覆盖既有官方信息）【茆Pro派】：李贤平《概率论基础》；陈家鼎《数理统计学讲义》；师义民《数理统计》；茆诗松《概率论与数理统计教程》</t>
    <phoneticPr fontId="9" type="noConversion"/>
  </si>
  <si>
    <t>未覆盖；就现在考研小程序院校模块（2026-08-14读取）：[1] 《概率论与数理统计教程》（第2版），茆诗松，程依明，濮晓龙，高等教育出版社，2011。; [2] 《数理统计学》（第2版），王晓光，大连理工大学出版社，2023等。;
卡方《27最新版：高校应统考研的五大门派》（2026-08-08，经验教材/非官方；交叉验证补充，不覆盖既有官方信息）【纯茆派】：茆诗松《概率论与数理统计教程》；王晓光《数理统计学》；滕素珍《数理统计学》</t>
    <phoneticPr fontId="9" type="noConversion"/>
  </si>
  <si>
    <t>未覆盖；就现在考研小程序院校模块（2026-08-14读取）：理学院：[1] 《统计学》（第7版），贾俊平，何晓群，金勇进编著， 中国人民大学出版社，2018年1月出版。; [2] 《概率论与数理统计教程》（第3版），茆诗松，程依明，濮晓龙编著，高等教育出版社。;；理学院(秦皇岛)：[1] 《统计学》（第7版），贾俊平，何晓群，金勇进编著， 中国人民大学出版社，2018年1月出版。; [2] 《概率论与数理统计教程》（第3版），茆诗松，程依明，濮晓龙编著，高等教育出版社。;；理学院（佛山）：[1] 《统计学》（第7版），贾俊平，何晓群，金勇进编著， 中国人民大学出版社，2018年1月出版。; [2] 《概率论与数理统计教程》（第3版），茆诗松，程依明，濮晓龙编著，高等教育出版社。;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</si>
  <si>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应用回归分析》；《时间序列分析》；《应用多元统计分析》；《抽样技术》；就现在考研小程序院校模块（2026-08-14读取）：统计学院：非官方，来自真题经验; [1]《统计学》第8版,贾俊平等; [2]《概率论与数理统计教程》第3版,茆诗松等; [3]《应用回归分析》、《多元统计分析》均第5版,何晓群; [4]《应用时间序列分析》第6版，王燕; [5]《时间序列分析及应用》,潘红宇等; [6]《抽样技术》第5版,金勇进等; [7]《计量经济学》第5版,李子奈等; 4、5可任选一; 注:学有余力可补充：;《非参数统计》、《数理统计》；统计与大数据研究院：非官方，来自真题经验; [1]《统计学》第8版,贾俊平等; [2]《概率论与数理统计教程》第3版,茆诗松等; [3]《应用回归分析》、《多元统计分析》均第5版,何晓群; [4]《应用时间序列分析》第6版，王燕; [5]《时间序列分析及应用》,潘红宇等; [6]《抽样技术》第5版,金勇进等; [7]《计量经济学》第5版,李子奈等; 4、5可任选一; 注:学有余力可补充：;《非参数统计》、《数理统计》
卡方《27最新版：高校应统考研的五大门派》（2026-08-08，经验教材/非官方；交叉验证补充，不覆盖既有官方信息）【贾茆Pro派】：贾俊平《统计学》；茆诗松《概率论与数理统计教程》；何晓群《应用回归分析》；李子奈《计量经济学》；王燕《应用时间序列分析》；何晓群《多元统计分析》；高惠璇《应用多元统计分析》；金勇进《抽样技术》；韦来生《数理统计》非参数检验章节</t>
    <phoneticPr fontId="9" type="noConversion"/>
  </si>
  <si>
    <t>茆诗松《概率论与数理统计教程》；贾俊平《统计学》；李贤平《概率论》；韦来生《数理统计》；《应用多元统计分析》；就现在考研小程序院校模块（2026-08-14读取）：数学学院（苏州基地）：[1] 《统计学》（第7版），贾俊平，何晓群，金勇进编著， 中国人民大学出版社，2018年1月出版; [2] 《概率论与数理统计教程》（第3版），茆诗松，程依明，濮晓龙编著，高等教育出版社。；数学学院：[1] 《统计学》（第7版），贾俊平，何晓群，金勇进编著， 中国人民大学出版社，2018年1月出版。; [2] 《概率论与数理统计教程》（第3版），茆诗松，程依明，濮晓龙编著，高等教育出版社。;
卡方《27最新版：高校应统考研的五大门派》（2026-08-08，经验教材/非官方；交叉验证补充，不覆盖既有官方信息）【贾茆Pro派】：贾俊平《统计学》；茆诗松《概率论与数理统计教程》；李贤平《概率论基础》；韦来生《数理统计》</t>
    <phoneticPr fontId="9" type="noConversion"/>
  </si>
  <si>
    <t>茆诗松《概率论与数理统计教程》；贾俊平《统计学》；李贤平《概率论》；Casella &amp; Berger《统计推断》；《应用多元统计分析》；就现在考研小程序院校模块（2026-08-14读取）：数学学院（珠海）：[1] 《统计推断》（翻译版， 原书第2版）， Casella， G. and Berger， R. L. 著， 张忠占等译，机械工业出版社; [2] 《数理统计学导论》（第5版）， Hogg. R.V. and Craig.A.T. 著，高等教育出版社; [3] 《概率论基础》（第3版），李贤平，高等教育出版社; 非官方，来自经验和历年真题：; [4] 《数理统计》（第2版），科学出版社，韦来生；数学学院：[1] 《统计推断》（翻译版， 原书第2版）， Casella， G. and Berger， R. L. 著， 张忠占等译，机械工业出版社; [2] 《数理统计学导论》（第5版）， Hogg. R.V. and Craig.A.T. 著，高等教育出版社; [3] 《概率论基础》（第3版），李贤平，高等教育出版社; 非官方，来自经验和历年真题：; [4] 《数理统计》（第2版），科学出版社，韦来生
卡方《27最新版：高校应统考研的五大门派》（2026-08-08，经验教材/非官方；交叉验证补充，不覆盖既有官方信息）【茆Pro派】：茆诗松《概率论与数理统计教程》；Casella《统计推断》；Hogg, R. V.《数理统计学导论》；李贤平《概率论基础》</t>
    <phoneticPr fontId="9" type="noConversion"/>
  </si>
  <si>
    <t>茆诗松《概率论与数理统计教程》；贾俊平《统计学》；《时间序列分析》；《应用多元统计分析》；《抽样技术》；就现在考研小程序院校模块（2026-08-14读取）：统计学与数据科学系：非官方，来自经验和历年真题：; [1] 《统计学》（第8版），贾俊平，何晓群，金勇进编著， 中国人民大学出版社，2021年出版; [2] 《概率论与数理统计教程》（第3版），茆诗松，程依明，濮晓龙编著，高等教育出版社; [3] 《统计学》（第3版），黄良文，朱建平，中国统计出版社。；王亚南经济研究院：非官方，来自经验和历年真题：; [1] 《统计学》（第8版），贾俊平，何晓群，金勇进编著， 中国人民大学出版社，2021年出版; [2] 《概率论与数理统计教程》（第3版），茆诗松，程依明，濮晓龙编著，高等教育出版社; [3] 《统计学》（第3版），黄良文，朱建平，中国统计出版社。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</si>
  <si>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茆诗松《概率论与数理统计教程》；贾俊平《统计学》；李贤平《概率论》；《应用多元统计分析》；就现在考研小程序院校模块（2026-08-14读取）：金融研究院：非官方，来自经验和历年真题：; [1] 《概率论与数理统计教程》（第3版），茆诗松，程依明，濮晓龙编著，高等教育出版社。;；数学与统计学院：非官方，来自经验和历年真题：; [1] 《概率论与数理统计教程》（第3版），茆诗松，程依明，濮晓龙编著，高等教育出版社。;；数据科学研究院：非官方，来自经验和历年真题：; [1] 《概率论与数理统计教程》（第3版），茆诗松，程依明，濮晓龙编著，高等教育出版社。;；经济研究院：非官方，来自经验和历年真题：; [1] 《概率论与数理统计教程》（第3版），茆诗松，程依明，濮晓龙编著，高等教育出版社。;
卡方《27最新版：高校应统考研的五大门派》（2026-08-08，经验教材/非官方；交叉验证补充，不覆盖既有官方信息）【纯茆派】：茆诗松《概率论与数理统计教程》；李贤平《概率论基础》</t>
    <phoneticPr fontId="9" type="noConversion"/>
  </si>
  <si>
    <t>茆诗松《概率论与数理统计教程》；贾俊平《统计学》；李贤平《概率论》；韦来生《数理统计》；《应用多元统计分析》；就现在考研小程序院校模块（2026-08-14读取）：[1]《概率论与数理统计教程》（第4版），茆诗松、程依明、濮晓龙、倪葎，高等教育出版社，2026年2月; [2]《数理统计》（第3版），韦来生、张伟平，科学出版社，2024年4月; [3]《统计学》（第9版），贾俊平、何晓群、金勇进，中国人民大学出版社，2025年1月。
卡方《27最新版：高校应统考研的五大门派》（2026-08-08，经验教材/非官方；交叉验证补充，不覆盖既有官方信息）【茆Pro派】：茆诗松《概率论与数理统计教程》；李贤平《概率论基础》；韦来生《数理统计》</t>
    <phoneticPr fontId="9" type="noConversion"/>
  </si>
  <si>
    <t>未覆盖；就现在考研小程序院校模块（2026-08-14读取）：[1] 《统计学》（第7版），贾俊平等编著，中国人民大学出版社。; [2] 《概率论与数理统计教程》（第3版），茆诗松等编著，高等教育出版社。;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</si>
  <si>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韦来生《数理统计》；《线性统计模型》；《时间序列分析》；《应用多元统计分析》；就现在考研小程序院校模块（2026-08-14读取）：统计与数据科学学院- B组：非官方，来自经验和历年真题：; [1] 《统计学》（第8版），贾俊平等著，中国人民大学出版社; [2] 《概率论与数理统计教程》（第3版），茆诗松等著，高等教育出版社; [3] 《线性统计模型与方差分析》，王松桂等编著，高等教育出版社; [4] 《时间序列分析及其应用》，[美] 罗伯特等，机械工业出版社; [5] 《应用回归分析》（第5版），何晓群，人民大学出版社;；数学学院：非官方，来自经验和历年真题：; [1] 《统计学》（第8版），贾俊平等著，中国人民大学出版社; [2] 《概率论与数理统计教程》（第3版），茆诗松等著，高等教育出版社; [3] 《线性统计模型与方差分析》，王松桂等编著，高等教育出版社; [4] 《时间序列分析及其应用》，[美] 罗伯特等，机械工业出版社; [5] 《应用回归分析》（第5版），何晓群，人民大学出版社;；统计与数据科学学院- A组：非官方，来自经验和历年真题：; [1] 《统计学》（第8版），贾俊平等著，中国人民大学出版社; [2] 《概率论与数理统计教程》（第3版），茆诗松等著，高等教育出版社; [3] 《线性统计模型与方差分析》，王松桂等编著，高等教育出版社; [4] 《时间序列分析及其应用》，[美] 罗伯特等，机械工业出版社; [5] 《应用回归分析》（第5版），何晓群，人民大学出版社;
卡方《27最新版：高校应统考研的五大门派》（2026-08-08，经验教材/非官方；交叉验证补充，不覆盖既有官方信息）【贾茆Pro派】：茆诗松《概率论与数理统计》；贾俊平《统计学》；何晓群《应用回归分析》；韦来生《数理统计》；王燕《应用时间序列分析》；林建忠《回归分析与线性统计模型》</t>
    <phoneticPr fontId="9" type="noConversion"/>
  </si>
  <si>
    <t>海报OCR未提取出可稳健命名的教材；就现在考研小程序院校模块（2026-08-14读取）：非官方，来自经验和历年真题：; [1] 《统计学》、《统计学习指导及能力训练》、《统计学习指导及应用实践》，向蓉美编著; [2] 《统计学》（第5版），袁卫、庞皓等编著; [3] 《概率论与数理统计教程》（第3版），茆诗松，程依明，濮晓龙编著，高等教育出版社; [4] 《统计学》（第8版），贾俊平，何晓群，金勇进编著，中国人民大学出版社，2021年出版。
卡方《27最新版：高校应统考研的五大门派》（2026-08-08，经验教材/非官方；交叉验证补充，不覆盖既有官方信息）【贾茆派】：贾俊平《统计学》；茆诗松《概率论与数理统计教程》；向蓉美《统计学》</t>
    <phoneticPr fontId="9" type="noConversion"/>
  </si>
  <si>
    <t>茆诗松《概率论与数理统计教程》；贾俊平《统计学》；《时间序列分析》；《应用多元统计分析》；就现在考研小程序院校模块（2026-08-14读取）：非官方，来自经验和历年真题：; [1] 《统计学》，刘扬; [2] 《统计学》（第8版），贾俊平，何晓群，金勇进编著，中国人民大学出版社，2021年出版。
卡方《27最新版：高校应统考研的五大门派》（2026-08-08，经验教材/非官方；交叉验证补充，不覆盖既有官方信息）【纯贾派】：贾俊平《统计学》；刘杨《统计学》</t>
    <phoneticPr fontId="9" type="noConversion"/>
  </si>
  <si>
    <t>茆诗松《概率论与数理统计教程》；贾俊平《统计学》；《应用多元统计分析》；就现在考研小程序院校模块（2026-08-14读取）：[1] 《统计学》（第8版），贾俊平，何晓群，金勇进编著， 中国人民大学出版社，2021年版。; 非官方，来自经验和历年真题：; [2]  《概率论与数理统计教程》（第3版），茆诗松，程依明，濮晓龙编著，高等教育出版社。;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</si>
  <si>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茆诗松《概率论与数理统计教程》；贾俊平《统计学》；《应用多元统计分析》；就现在考研小程序院校模块（2026-08-14读取）：官方指定： [1] 《概率论与数理统计教程》（第4版） 茆诗松, 程依明, 濮晓龙, 倪葎，高等教育出版社，2026; [2] 《统计学》（第9版），贾俊平, 何晓群，金勇进，中国人民大学出版社，2025。 学有余力建议补充： [1] 《概率论基础》（第3版），李贤平，高等教育出版社;掌握基本概念+初等概率论习题 [2] 《概率论》（第2版），应坚刚，何萍编著，复旦大学出版社;初等概率论题目作为拔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</si>
  <si>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茆诗松《概率论与数理统计教程》；贾俊平《统计学》；《时间序列分析》；《应用多元统计分析》；就现在考研小程序院校模块（2026-08-14读取）：非官方，来自经验和历年真题：; [1] 《统计学》（第8版），贾俊平，何晓群，金勇进编著， 中国人民大学出版社，2021年出版; [2] 《概率论与数理统计教程》（第3版），茆诗松，程依明，濮晓龙编著，高等教育出版社; [3] 《统计学》（第2版），向书坚，张学毅主编，中国统计出版社，2016 年。
卡方《27最新版：高校应统考研的五大门派》（2026-08-08，经验教材/非官方；交叉验证补充，不覆盖既有官方信息）【贾茆派】：贾俊平《统计学》；茆诗松《概率论与数理统计教程》；向书坚《统计学》</t>
    <phoneticPr fontId="9" type="noConversion"/>
  </si>
  <si>
    <t>茆诗松《概率论与数理统计教程》；贾俊平《统计学》；《应用多元统计分析》；就现在考研小程序院校模块（2026-08-14读取）：[1] 《统计学》（第4版），袁卫、庞皓、贾俊平、杨灿，高等教育出版社。; [2] 《概率论与数理统计》（第2版），魏宗舒，高等教育出版社，2008。;
卡方《27最新版：高校应统考研的五大门派》（2026-08-08，经验教材/非官方；交叉验证补充，不覆盖既有官方信息）【贾茆派】：袁卫《统计学》；魏宗舒《概率论与数理统计》</t>
    <phoneticPr fontId="9" type="noConversion"/>
  </si>
  <si>
    <t>茆诗松《概率论与数理统计教程》；贾俊平《统计学》；李贤平《概率论》；韦来生《数理统计》；《应用多元统计分析》；就现在考研小程序院校模块（2026-08-14读取）：[1]《概率论与数理统计教程》(第3版)，茆诗松，程依明，濮晓龙，高等教育出版社，2019年。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</si>
  <si>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茆诗松《概率论与数理统计教程》；贾俊平《统计学》；李贤平《概率论》；《应用多元统计分析》；就现在考研小程序院校模块（2026-08-14读取）：[1]《概率论基础》，李贤平，高等教育出版社，2010; [2]《数理统计学》（第2版），茆诗松，中国人民大学出版社，2016。
卡方《27最新版：高校应统考研的五大门派》（2026-08-08，经验教材/非官方；交叉验证补充，不覆盖既有官方信息）【茆Pro派】：茆诗松《概率论与数理统计教程》；茆诗松《数理统计学》；李贤平《概率论基础》；韦来生《数理统计》</t>
    <phoneticPr fontId="9" type="noConversion"/>
  </si>
  <si>
    <t>未覆盖；就现在考研小程序院校模块（2026-08-14读取）：非官方，来自经验和历年真题：; [1] 《统计学》（第8版），贾俊平，何晓群，金勇进编著， 中国人民大学出版社，2021年出版。
卡方《27最新版：高校应统考研的五大门派》（2026-08-08，经验教材/非官方；交叉验证补充，不覆盖既有官方信息）【纯贾派】：贾俊平《统计学》</t>
    <phoneticPr fontId="9" type="noConversion"/>
  </si>
  <si>
    <t>茆诗松《概率论与数理统计教程》；贾俊平《统计学》；《时间序列分析》；《应用多元统计分析》；《抽样技术》；就现在考研小程序院校模块（2026-08-14读取）：经济学院：[1] 《统计学原理》（第7版），韩兆洲主编，暨南大学出版社，2010年; [2]  《统计学原理学习指导及 Excel 数据统计分析》（第2版），韩兆洲等主编，暨南大学出版社，2011年; [3]  《概率论与数理统计教程》（第2版），高等教育出版社，2011年 ，普通高等教育“十一五” 规划教材; [4] 《概率论与数理统计》（第1版），周纪芗，茆诗松，中国统计出版社，2007 年。；信息科学技术学院：[1] 《统计学原理》（第7版），韩兆洲主编，暨南大学出版社，2010年; [2]  《统计学原理学习指导及 Excel 数据统计分析》（第2版），韩兆洲等主编，暨南大学出版社，2011年; [3]  《概率论与数理统计教程》（第2版），高等教育出版社，2011年 ，普通高等教育“十一五” 规划教材; [4] 《概率论与数理统计》（第1版），周纪芗，茆诗松，中国统计出版社，2007 年。
卡方《27最新版：高校应统考研的五大门派》（2026-08-08，经验教材/非官方；交叉验证补充，不覆盖既有官方信息）【贾茆派】：贾俊平《统计学》；韩兆洲《统计学原理》；茆诗松《概率论与数理统计教程》；韩兆洲《统计学原理学习指导及Excel数据统计分析》</t>
    <phoneticPr fontId="9" type="noConversion"/>
  </si>
  <si>
    <t>未覆盖；就现在考研小程序院校模块（2026-08-14读取）：数学与统计学院：[1] 《应用统计学》（第2版），清华大学出版社，2021 年6 月，李卫东主编。；经济管理学院：[1] 《应用统计学》（第 2 版），清华大学出版社，2021 年6 月，李卫东主编。;
卡方《27最新版：高校应统考研的五大门派》（2026-08-08，经验教材/非官方；交叉验证补充，不覆盖既有官方信息）【纯贾派】：贾俊平《统计学》；李卫东《应用统计学》</t>
    <phoneticPr fontId="9" type="noConversion"/>
  </si>
  <si>
    <t>茆诗松《概率论与数理统计教程》；贾俊平《统计学》；《应用多元统计分析》；就现在考研小程序院校模块（2026-08-14读取）：[1]《应用数理统计》（第4版），朱坤平，刘剑平，陆元鸿，华东理工大学出版社; [2]《数理统计学》（第2版），茆诗松，吕晓玲，中国人民大学出版社。
卡方《27最新版：高校应统考研的五大门派》（2026-08-08，经验教材/非官方；交叉验证补充，不覆盖既有官方信息）【纯茆派】：茆诗松《概率论与数理统计教程》；茆诗松《数理统计学》；刘剑平《应用数理统计》</t>
    <phoneticPr fontId="9" type="noConversion"/>
  </si>
  <si>
    <t>茆诗松《概率论与数理统计教程》；贾俊平《统计学》；《应用多元统计分析》；就现在考研小程序院校模块（2026-08-14读取）：经济学院：[1] 《统计学》（第8版），贾俊平，何晓群，金勇进，中国人民大学出版社，2021年。; [2] 《概率论与数理统计》（第5版），盛骤，谢式千，潘承毅，高等教育出版社，2020年。;；理学院：[1] 《统计学》（第8版），贾俊平，何晓群，金勇进，中国人民大学出版社，2021年。; [2] 《概率论与数理统计》（第5版），盛骤，谢式千，潘承毅，高等教育出版社，2020年。;
卡方《27最新版：高校应统考研的五大门派》（2026-08-08，经验教材/非官方；交叉验证补充，不覆盖既有官方信息）【贾茆派】：贾俊平《统计学》；茆诗松《概率论与数理统计教程》；盛骤《概率论与数理统计》</t>
    <phoneticPr fontId="9" type="noConversion"/>
  </si>
  <si>
    <t>茆诗松《概率论与数理统计教程》；贾俊平《统计学》；《应用回归分析》；《时间序列分析》；《应用多元统计分析》；就现在考研小程序院校模块（2026-08-14读取）：[1]《统计学》，贾俊平，何晓群，金勇进编，中国人民大学出版社; [2]《概率论与数理统计》，魏宗舒编，高等教育出版社; [3]《应用回归分析》（第2版，R语言版），何晓群，刘赛可编，电子工业出版社; [4]《应用时间序列分析》，王燕编，中国人民大学出版社; [5]《应用多元统计分析》，王学民编，上海财经大学出版社。
卡方《27最新版：高校应统考研的五大门派》（2026-08-08，经验教材/非官方；交叉验证补充，不覆盖既有官方信息）【贾茆Pro派】：贾俊平《统计学》；茆诗松《概率论与数理统计教程》；魏宗舒《概率论与数理统计》；何晓群《应用回归分析》（第2版，R语言版）；王燕《应用时间序列分析》；王学民《应用多元统计分析》</t>
    <phoneticPr fontId="9" type="noConversion"/>
  </si>
  <si>
    <t>茆诗松《概率论与数理统计教程》；贾俊平《统计学》；《应用多元统计分析》；就现在考研小程序院校模块（2026-08-14读取）：前沿交叉科学研究院：[1] 《统计学》（第8版），贾俊平，何晓群，金勇进编著， 中国人民大学出版社，2021年出版。；数学学院：[1] 《统计学》（第8版），贾俊平，何晓群，金勇进编著， 中国人民大学出版社，2021年出版。
卡方《27最新版：高校应统考研的五大门派》（2026-08-08，经验教材/非官方；交叉验证补充，不覆盖既有官方信息）【纯贾派】：贾俊平《统计学》</t>
    <phoneticPr fontId="9" type="noConversion"/>
  </si>
  <si>
    <t>茆诗松《概率论与数理统计教程》；贾俊平《统计学》；《应用多元统计分析》；就现在考研小程序院校模块（2026-08-14读取）：数学与统计学院：[1] 《统计学》（第9版），贾俊平等主编， 中国人民大学出版社。；数学与统计学院（襄阳示范区）：[1] 《统计学》（第9版），贾俊平等主编， 中国人民大学出版社。
卡方《27最新版：高校应统考研的五大门派》（2026-08-08，经验教材/非官方；交叉验证补充，不覆盖既有官方信息）【纯贾派】：贾俊平《统计学》</t>
    <phoneticPr fontId="9" type="noConversion"/>
  </si>
  <si>
    <t>未覆盖；就现在考研小程序院校模块（2026-08-14读取）：非官方，来自经验和历年真题：; [1] 《概率论与数理统计教程》（第3版），茆诗松，程依明，濮晓龙编著，高等教育出版社。;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</si>
  <si>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 《概率论与数理统计》（第2版），东华大学概率统计教研组，高等教育出版社，2025。
卡方《27最新版：高校应统考研的五大门派》（2026-08-08，经验教材/非官方；交叉验证补充，不覆盖既有官方信息）【贾茆派】：东华大学概率统计教研组《概率论与数理统计》；贾俊平《统计学》；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</si>
  <si>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 《统计学》（第7版），贾俊平，何晓群，金勇进，中国人民大学出版社，2018年; [2] 《概率论与数理统计教程》（第3版），茆诗松，程依明，濮晓龙编著，高等教育出版社，2019年。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</si>
  <si>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未覆盖；就现在考研小程序院校模块（2026-08-14读取）：[1] 《统计学》（第6版），贾俊平，何晓群，金勇进编著，中国人民大学出版社。; [2] 《统计学》（第4版），袁卫，庞皓，贾俊平，杨灿编著，高等教育出版社。; [3] 《概率论与数理统计教程》（第2版），茆诗松，程依明，濮晓龙编著，高等教育出版社。;
卡方《27最新版：高校应统考研的五大门派》（2026-08-08，经验教材/非官方；交叉验证补充，不覆盖既有官方信息）【贾茆派】：贾俊平《统计学》；茆诗松《概率论与数理统计教程》；袁卫《统计学》</t>
    <phoneticPr fontId="9" type="noConversion"/>
  </si>
  <si>
    <t>茆诗松《概率论与数理统计教程》；贾俊平《统计学》；《应用多元统计分析》；就现在考研小程序院校模块（2026-08-14读取）：数学科学学院：[1] 《概率论与数理统计教程》（第3版），茆诗松，程依明，濮晓龙 编著，高等教育出版社，2019.11.（第一章至第七章）; [2] 《统计学：在经济和管理中的应用》（第8版），Gerald Keller著，李君，冯丽君 等译，中国人民大学出版社，2012.12.（第1章至第13章）。；心理学院：[1] 《概率论与数理统计教程》（第3版），茆诗松，程依明，濮晓龙 编著，高等教育出版社，2019.11.（第一章至第七章）; [2] 《统计学：在经济和管理中的应用》（第8版），Gerald Keller著，李君，冯丽君 等译，中国人民大学出版社，2012.12.（第1章至第13章）。
卡方《27最新版：高校应统考研的五大门派》（2026-08-08，经验教材/非官方；交叉验证补充，不覆盖既有官方信息）【贾茆派】：茆诗松《概率论与数理统计教程》；Gerald Keller《统计学：在经济和管理中的应用》；贾俊平《统计学》</t>
    <phoneticPr fontId="9" type="noConversion"/>
  </si>
  <si>
    <t>茆诗松《概率论与数理统计教程》；贾俊平《统计学》；《应用多元统计分析》；《计量经济学》；就现在考研小程序院校模块（2026-08-14读取）：[1]《概率论与数理统计》， （第四版），盛骤等，高等教育出版社; 如果追求高分，建议补充：; [2] 《概率论与数理统计教程》（第3版），茆诗松，程依明，濮晓龙编著，高等教育出版社。
卡方《27最新版：高校应统考研的五大门派》（2026-08-08，经验教材/非官方；交叉验证补充，不覆盖既有官方信息）【茆Pro派】：茆诗松《概率论与数理统计教程》；盛骤《概率论与数理统计》；赵国庆《计量经济学》</t>
    <phoneticPr fontId="9" type="noConversion"/>
  </si>
  <si>
    <t>未覆盖；就现在考研小程序院校模块（2026-08-14读取）：[1]《概率论与数理统计》（第3版），茆诗松，高等教育出版社，2020年; [2]《应用回归分析（R语言版）》（第1版），何晓群，电子工业出版社，2017年。
卡方《27最新版：高校应统考研的五大门派》（2026-08-08，经验教材/非官方；交叉验证补充，不覆盖既有官方信息）【茆Pro派】：茆诗松《概率论与数理统计教程》；何晓群《应用回归分析（R语言版）》</t>
    <phoneticPr fontId="9" type="noConversion"/>
  </si>
  <si>
    <t>茆诗松《概率论与数理统计教程》；贾俊平《统计学》；就现在考研小程序院校模块（2026-08-14读取）：[1] 《概率论与数理统计教程》（第2版），茆诗松，程依明，濮晓龙编著，高等教育出版社。;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</si>
  <si>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未覆盖；就现在考研小程序院校模块（2026-08-14读取）：理学院：[1] 《统计学》（第8版），贾俊平等，中国人民大学出版社，2021; [2] 《概率论与数理统计教程》，茆诗松，程依明，濮晓龙，高等教育出版社，2011。；克拉玛依校区：[1] 《统计学》（第8版），贾俊平等，中国人民大学出版社，2021; [2] 《概率论与数理统计教程》，茆诗松，程依明，濮晓龙，高等教育出版社，2011。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</si>
  <si>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茆诗松《概率论与数理统计教程》；贾俊平《统计学》；《时间序列分析》；《应用多元统计分析》；就现在考研小程序院校模块（2026-08-14读取）：数理学院：非官方，来自经验和历年真题：; [1] 《概率论与数理统计教程》（第3版），茆诗松，程依明，濮晓龙编著，高等教育出版社。；数理系：非官方，来自经验和历年真题：; [1] 《概率论与数理统计教程》（第3版），茆诗松，程依明，濮晓龙编著，高等教育出版社; [2] 《应用时间序列分析》，王燕，中国人民大学出版社。
卡方《27最新版：高校应统考研的五大门派》（2026-08-08，经验教材/非官方；交叉验证补充，不覆盖既有官方信息）【贾茆Pro派；北京/保定合并行按较高阶分类着色】：北京数理学院（贾茆派）：贾俊平《统计学》；茆诗松《概率论与数理统计教程》；保定数理系（贾茆Pro派）：贾俊平《统计学》；茆诗松《概率论与数理统计》；王燕《时间序列分析一基于R》（第二版）</t>
    <phoneticPr fontId="9" type="noConversion"/>
  </si>
  <si>
    <t>未覆盖；就现在考研小程序院校模块（2026-08-14读取）：[1] 《统计学》（第5版）， 贾俊平、何晓群、金勇进， 中国人民大学出版社。 非官方，来自经验和历年真题： [2] 《概率论与数理统计教程》（第3版），茆诗松，程依明，濮晓龙编著，高等教育出版社。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</si>
  <si>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未覆盖；就现在考研小程序院校模块（2026-08-14读取）：[1] 《统计学》（第6版），贾俊平主编，中国人民大学出版社，2015年1月。;  [2] 《概率论与数理统计教程》（第2版），茆诗松、程依明、濮晓龙编著，高等教育出版社，2013年12月。;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</si>
  <si>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未覆盖；就现在考研小程序院校模块（2026-08-14读取）：数学与物理学院：[1] 《统计学》，贾俊平，何晓群，金勇进，中国人民大学出版社，2018。; [2] 《概率论与数理统计》（第3版），刘安平，肖海军，奚先，田木生， 科学出版社，2014。;；经济管理学院：[1]、贾俊平《统计学》中国人民大学出版社，2018;[2]、刘安平、肖海军，《概率论与数理统计》（第三版）科学出版社，2014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</si>
  <si>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茆诗松《概率论与数理统计教程》；贾俊平《统计学》；《应用多元统计分析》；就现在考研小程序院校模块（2026-08-14读取）：[1]《统计学》（第8版），贾俊平等编，中国人民大学出版社，2021。;   [2]《概率论与数理统计》（第5版），盛骤等编，高等教育出版社，2019。; [3]《概率统计》，王翠香、诸宝增主编，北京大学出版社，2020。
卡方《27最新版：高校应统考研的五大门派》（2026-08-08，经验教材/非官方；交叉验证补充，不覆盖既有官方信息）【贾茆派】：贾俊平《统计学》；茆诗松《概率论与数理统计教程》；盛骤《概率论与数理统计》；王翠香《概率论》</t>
    <phoneticPr fontId="9" type="noConversion"/>
  </si>
  <si>
    <t>未覆盖；就现在考研小程序院校模块（2026-08-14读取）：[1] 《统计学》（第6版），贾俊平 等，中国人民大学出版社，2015年;  [2]《统计学》（第5版），李金昌、苏为华，机械工业出版社，2019年。
卡方《27最新版：高校应统考研的五大门派》（2026-08-08，经验教材/非官方；交叉验证补充，不覆盖既有官方信息）【纯贾派】：贾俊平《统计学》；李金昌《统计学》</t>
    <phoneticPr fontId="9" type="noConversion"/>
  </si>
  <si>
    <t>茆诗松《概率论与数理统计教程》；贾俊平《统计学》；《应用多元统计分析》；就现在考研小程序院校模块（2026-08-14读取）：非官方，来自经验和历年真题：; [1] 《概率论与数理统计教程》（第3版），茆诗松，程依明，濮晓龙编著，高等教育出版社。;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</si>
  <si>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 《概率论与数理统计》（第5版），盛骤，谢式千，潘承毅 ，高等教育出版社，2019。; [2] 《统计学》（第8版），贾俊平，何晓群，金勇进， 中国人民大学出版社，2021。;
卡方《27最新版：高校应统考研的五大门派》（2026-08-08，经验教材/非官方；交叉验证补充，不覆盖既有官方信息）【贾茆派】：贾俊平《统计学》；茆诗松《概率论与数理统计教程》；盛骤《概率论与数理统计》</t>
    <phoneticPr fontId="9" type="noConversion"/>
  </si>
  <si>
    <t>茆诗松《概率论与数理统计教程》；贾俊平《统计学》；《应用回归分析》；《应用多元统计分析》；就现在考研小程序院校模块（2026-08-14读取）：[1]《统计学》(第9版)，贾俊平、何晓群、金勇进编：中国人民大学出版社, 2021年; [2] 《线性统计模型—线性回 归与方差分析》[本书的第3章和第4章] 王松桂、陈敏、 陈立萍编，高等教育出版社，1999年; [3]《概率论与数理统计》(第5版)，盛骤、谢式千、潘承毅编，高等教育出版社, 2020年。
卡方《27最新版：高校应统考研的五大门派》（2026-08-08，经验教材/非官方；交叉验证补充，不覆盖既有官方信息）【贾茆Pro派】：贾俊平《统计学》（第六版）；茆诗松《概率论与数理统计教程》；王松桂《线性统计模型——线性回归与方差分析》；盛骤《概率论与数理统计》</t>
    <phoneticPr fontId="9" type="noConversion"/>
  </si>
  <si>
    <t>未覆盖；就现在考研小程序院校模块（2026-08-14读取）：数学与统计学院：非官方，来自经验和历年真题：; [1] 《统计学》（第5版），袁卫，庞皓，贾俊平，杨灿，高等教育出版社，2019年。;[2]《计量经济学（第 5 版）》，孙敬水，马淑琴著，清华大学出版社，2022 年。；经济学院：非官方，来自经验和历年真题：; [1] 《统计学》（第5版），袁卫，庞皓，贾俊平，杨灿，高等教育出版社，2019年。;[2]《计量经济学（第 5 版）》，孙敬水，马淑琴著，清华大学出版社，2022 年。
卡方《27最新版：高校应统考研的五大门派》（2026-08-08，经验教材/非官方；交叉验证补充，不覆盖既有官方信息）【贾茆Pro派】：袁卫《统计学》（第三版）；李子奈《计量经济学》；茆诗松《概率论与数理统计教程》</t>
    <phoneticPr fontId="9" type="noConversion"/>
  </si>
  <si>
    <t>茆诗松《概率论与数理统计教程》；贾俊平《统计学》；《时间序列分析》；《应用多元统计分析》；《计量经济学》；就现在考研小程序院校模块（2026-08-14读取）：非官方，来自经验和历年真题： ; [1] 《统计学》（第8版），贾俊平，何晓群，金勇进编著， 中国人民大学出版社，2021年出版; [2] 《概率论与数理统计教程》（第3版），茆诗松，程依明，濮晓龙编著，高等教育出版社; [3] 《应用回归分析》（第5版），何晓群，中国人民大学出版社。
卡方《27最新版：高校应统考研的五大门派》（2026-08-08，经验教材/非官方；交叉验证补充，不覆盖既有官方信息）【贾茆Pro派】：茆诗松《概率论与数理统计教程》；贾俊平《统计学》；李子奈《计量经济学》</t>
    <phoneticPr fontId="9" type="noConversion"/>
  </si>
  <si>
    <t>未覆盖；就现在考研小程序院校模块（2026-08-14读取）：[1] 《统计学》（第9版），贾俊平，何晓群，金勇进编著， 中国人民大学出版社，2025年出版; [2] 《概率论与数理统计》（第4版），茆诗松等编著，高等教育出版社，2026年出版。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</si>
  <si>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茆诗松《概率论与数理统计教程》；贾俊平《统计学》；李贤平《概率论》；韦来生《数理统计》；《应用多元统计分析》；就现在考研小程序院校模块（2026-08-14读取）：[1] 《概率论基础》（第3版），李贤平编，高等教育出版社; [2] 《数理统计学讲义》（第2版），陈家鼎等编，高等教育出版社; [3] 《概率论与数理统计》，茆诗松等编，高等教育出版社。
卡方《27最新版：高校应统考研的五大门派》（2026-08-08，经验教材/非官方；交叉验证补充，不覆盖既有官方信息）【茆Pro派】：茆诗松《概率论与数理统计教程》；李贤平《概率论基础》；陈家鼎《数理统计学讲义》</t>
    <phoneticPr fontId="9" type="noConversion"/>
  </si>
  <si>
    <t>未覆盖；就现在考研小程序院校模块（2026-08-14读取）：[1] 《医药数理统计方法》（第7版），高祖新，人民卫生出版社; [2] 《概率论与数理统计》（第2版），高祖新，言方荣，南京大学出版社; [3] 《概率论与数理统计》（第5版），盛骤等，高等教育出版社。
卡方《27最新版：高校应统考研的五大门派》（2026-08-08，经验教材/非官方；交叉验证补充，不覆盖既有官方信息）【纯茆派】：高祖新《医药数理统计方法》；高祖新《概率论与数理统计》；盛骤《概率论与数理统计》</t>
    <phoneticPr fontId="9" type="noConversion"/>
  </si>
  <si>
    <t>茆诗松《概率论与数理统计教程》；贾俊平《统计学》；《应用多元统计分析》；就现在考研小程序院校模块（2026-08-14读取）：[1] 《统计学》（第9版），贾俊平等编，中国人民大学出版社，2025年1月。
卡方《27最新版：高校应统考研的五大门派》（2026-08-08，经验教材/非官方；交叉验证补充，不覆盖既有官方信息）【纯贾派】：贾俊平《统计学》</t>
    <phoneticPr fontId="9" type="noConversion"/>
  </si>
  <si>
    <t>茆诗松《概率论与数理统计教程》；贾俊平《统计学》；《应用多元统计分析》；就现在考研小程序院校模块（2026-08-14读取）：[1]《概率论与试验统计》（第4版），余家林，朱倩军，石峰，高等教育出版社，2009。; [2]《统计学》（第7版），贾俊平等编著，中国人民大学出版社，2018。;
卡方《27最新版：高校应统考研的五大门派》（2026-08-08，经验教材/非官方；交叉验证补充，不覆盖既有官方信息）【贾茆派】：贾俊平《统计学》；茆诗松《概率论与数理统计教程》；余家林《概率论与试验统计》</t>
    <phoneticPr fontId="9" type="noConversion"/>
  </si>
  <si>
    <t>茆诗松《概率论与数理统计教程》；贾俊平《统计学》；《应用多元统计分析》；就现在考研小程序院校模块（2026-08-14读取）：非官方，来自经验和历年真题：; [1] 《统计学》（第8版），贾俊平，何晓群，金勇进编著， 中国人民大学出版社，2021年出版。
卡方《27最新版：高校应统考研的五大门派》（2026-08-08，经验教材/非官方；交叉验证补充，不覆盖既有官方信息）【纯贾派】：贾俊平《统计学》</t>
    <phoneticPr fontId="9" type="noConversion"/>
  </si>
  <si>
    <t>茆诗松《概率论与数理统计教程》；贾俊平《统计学》；《应用多元统计分析》；就现在考研小程序院校模块（2026-08-14读取）：[1] 《统计学》（第8版），贾俊平，何晓群，金勇进编，中国人民大学出版社，2021年。;
卡方《27最新版：高校应统考研的五大门派》（2026-08-08，经验教材/非官方；交叉验证补充，不覆盖既有官方信息）【纯贾派】：贾俊平《统计学》</t>
    <phoneticPr fontId="9" type="noConversion"/>
  </si>
  <si>
    <t>未覆盖；就现在考研小程序院校模块（2026-08-14读取）：[1]《统计学》(第8版)，贾俊平，何晓群，金勇进，中国人民大学出版社，2021.10; [2]《概率论与数理统计教程》(第3版)，茆诗松，程依明，濮晓龙，高等教育出版社，2020.10; [3]《概率论与数理统计》(第5版)，盛骤，谢式千，潘承毅，高等教育出版社，2020.11。
卡方《27最新版：高校应统考研的五大门派》（2026-08-08，经验教材/非官方；交叉验证补充，不覆盖既有官方信息）【贾茆派】：贾俊平《统计学》；茆诗松《概率论与数理统计教程》；盛骤《概率论与数理统计》</t>
    <phoneticPr fontId="9" type="noConversion"/>
  </si>
  <si>
    <t>未覆盖；就现在考研小程序院校模块（2026-08-14读取）：[1] 《统计学》（第7版），贾俊平，何晓群，金勇进编，中国人民大学出版社，2018年。;
卡方《27最新版：高校应统考研的五大门派》（2026-08-08，经验教材/非官方；交叉验证补充，不覆盖既有官方信息）【纯贾派】：贾俊平《统计学》</t>
    <phoneticPr fontId="9" type="noConversion"/>
  </si>
  <si>
    <t>未覆盖；就现在考研小程序院校模块（2026-08-14读取）：[1] 《概率论与数理统计教程》（第3版），茆诗松， 程依明， 濮晓龙，高等教育出版社， 2020。;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</si>
  <si>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茆诗松《概率论与数理统计教程》；贾俊平《统计学》；《应用多元统计分析》；就现在考研小程序院校模块（2026-08-14读取）：[1] 《统计学》（第4版），袁卫、庞皓、贾俊平、杨灿，高等教育出版社。; [2] 《概率论与数理统计》（第5版）， 盛骤，谢式千，潘承毅编，高等教育出版社，2019年。;
卡方《27最新版：高校应统考研的五大门派》（2026-08-08，经验教材/非官方；交叉验证补充，不覆盖既有官方信息）【贾茆派】：袁卫《统计学》；盛骤《概率论与数理统计》</t>
    <phoneticPr fontId="9" type="noConversion"/>
  </si>
  <si>
    <t>未覆盖；就现在考研小程序院校模块（2026-08-14读取）：[1] 《概率论与数理统计教程》（第3版），茆诗松等，高等教育出版社。;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</si>
  <si>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未覆盖；就现在考研小程序院校模块（2026-08-14读取）：非官方，来自经验和历年真题：; [1] 《统计学》（第8版），贾俊平，何晓群，金勇进编著， 中国人民大学出版社，2021年出版;      [2] 《概率论与数理统计教程》（第3版），茆诗松等编著，高等教育出版社。; 注：2025年未考贾书内容，但2024年考过，建议学习以防万一。
卡方《27最新版：高校应统考研的五大门派》（2026-08-08，经验教材/非官方；交叉验证补充，不覆盖既有官方信息）【贾茆派】：贾俊平《统计学》；茆诗松《概率论与数理统计教程》</t>
    <phoneticPr fontId="9" type="noConversion"/>
  </si>
  <si>
    <t>未覆盖；就现在考研小程序院校模块（2026-08-14读取）：[1] 《概率论与数理统计教程》，茆诗松、程依明、濮晓龙，高等教育出版社， 2011年第2版。;
卡方《27最新版：高校应统考研的五大门派》（2026-08-08，经验教材/非官方；交叉验证补充，不覆盖既有官方信息）【纯茆派】：茆诗松《概率论与数理统计教程》</t>
    <phoneticPr fontId="9" type="noConversion"/>
  </si>
  <si>
    <t>未覆盖；就现在考研小程序院校模块（2026-08-14读取）：[1] 《统计学》（第8版），贾俊平，何晓群，金勇进编，中国人民大学出版社，2021年。
卡方《27最新版：高校应统考研的五大门派》（2026-08-08，经验教材/非官方；交叉验证补充，不覆盖既有官方信息）【纯贾派】：贾俊平《统计学》</t>
    <phoneticPr fontId="9" type="noConversion"/>
  </si>
  <si>
    <t>未覆盖；就现在考研小程序院校模块（2026-08-14读取）：[1] 《概率论与数理统计》（第5版），盛骤，谢式千，潘承毅编著，高等教育出版社，2019 年。; [2] 《统计学》（第 8 版），贾俊平，何晓群，金勇进编著，中国人民大学出版社，2021 年。;
卡方《27最新版：高校应统考研的五大门派》（2026-08-08，经验教材/非官方；交叉验证补充，不覆盖既有官方信息）【贾茆派】：贾俊平《统计学》；盛骤《概率论与数理统计》</t>
    <phoneticPr fontId="9" type="noConversion"/>
  </si>
  <si>
    <t>主表行底色</t>
  </si>
  <si>
    <t>纯贾派</t>
  </si>
  <si>
    <t>贾茆派</t>
  </si>
  <si>
    <t>纯茆派</t>
  </si>
  <si>
    <t>文章未出现</t>
  </si>
  <si>
    <t>偏数理统计</t>
  </si>
  <si>
    <t>贾茆扩展</t>
  </si>
  <si>
    <t>数理进阶</t>
  </si>
  <si>
    <t>默认白色</t>
  </si>
  <si>
    <t>卡方训练营《27最新版：高校应统考研的五大门派》</t>
  </si>
  <si>
    <t>主流应用统计考研机构</t>
  </si>
  <si>
    <t>五大门派分类、经验教材、茆书星级要求</t>
  </si>
  <si>
    <t>https://mp.weixin.qq.com/s/YscsWES7OVZe_hi4wCtykA</t>
  </si>
  <si>
    <t>2026-08-14在微信内置浏览器逐段下滑并读取五张名单长图；78个主表学校获得分类，3所未出现学校保持白色。华北电力北京/保定分属贾茆/贾茆Pro，合并行按较高阶Pro着色并同时保留两校区教材。机构经验教材作为交叉验证线索追加，不覆盖官方信息。</t>
  </si>
  <si>
    <r>
      <t>偏统计学</t>
    </r>
    <r>
      <rPr>
        <b/>
        <sz val="11"/>
        <rFont val="Carlito"/>
        <family val="2"/>
      </rPr>
      <t>/</t>
    </r>
    <r>
      <rPr>
        <b/>
        <sz val="11"/>
        <rFont val="Carlito"/>
      </rPr>
      <t>经济</t>
    </r>
  </si>
  <si>
    <r>
      <t>贾书</t>
    </r>
    <r>
      <rPr>
        <b/>
        <sz val="11"/>
        <rFont val="Carlito"/>
        <family val="2"/>
      </rPr>
      <t>+</t>
    </r>
    <r>
      <rPr>
        <b/>
        <sz val="11"/>
        <rFont val="Carlito"/>
      </rPr>
      <t>茆书</t>
    </r>
  </si>
  <si>
    <r>
      <t>贾茆</t>
    </r>
    <r>
      <rPr>
        <b/>
        <sz val="11"/>
        <rFont val="Carlito"/>
        <family val="2"/>
      </rPr>
      <t>Pro</t>
    </r>
    <r>
      <rPr>
        <b/>
        <sz val="11"/>
        <rFont val="Carlito"/>
      </rPr>
      <t>派</t>
    </r>
  </si>
  <si>
    <r>
      <t>茆</t>
    </r>
    <r>
      <rPr>
        <b/>
        <sz val="11"/>
        <rFont val="Carlito"/>
        <family val="2"/>
      </rPr>
      <t>Pro</t>
    </r>
    <r>
      <rPr>
        <b/>
        <sz val="11"/>
        <rFont val="Carlito"/>
      </rPr>
      <t>派</t>
    </r>
  </si>
  <si>
    <r>
      <t>卡方文章（</t>
    </r>
    <r>
      <rPr>
        <b/>
        <sz val="11"/>
        <color rgb="FFFFFFFF"/>
        <rFont val="Carlito"/>
        <family val="2"/>
      </rPr>
      <t>2026-08-08</t>
    </r>
    <r>
      <rPr>
        <b/>
        <sz val="11"/>
        <color rgb="FFFFFFFF"/>
        <rFont val="Carlito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</si>
</sst>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>
    <font>
      <sz val="11"/>
      <name val="Carlito"/>
    </font>
    <font>
      <b/>
      <sz val="18"/>
      <color rgb="FFFFFFFF"/>
      <name val="Microsoft YaHei"/>
      <family val="2"/>
      <charset val="134"/>
    </font>
    <font>
      <b/>
      <sz val="11"/>
      <color rgb="FFFFFFFF"/>
      <name val="Carlito"/>
    </font>
    <font>
      <sz val="9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9"/>
      <color rgb="FF17365D"/>
      <name val="Microsoft YaHei"/>
      <family val="2"/>
      <charset val="134"/>
    </font>
    <font>
      <b/>
      <sz val="9"/>
      <color rgb="FF9C0006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</font>
    <font>
      <b/>
      <sz val="11"/>
      <name val="Carlito"/>
      <family val="2"/>
    </font>
    <font>
      <b/>
      <sz val="11"/>
      <color rgb="FFFFFFFF"/>
      <name val="Carlito"/>
      <family val="2"/>
    </font>
  </fonts>
  <fills count="2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7F9FC"/>
      </patternFill>
    </fill>
    <fill>
      <patternFill patternType="solid">
        <fgColor rgb="FF0F6B78"/>
      </patternFill>
    </fill>
    <fill>
      <patternFill patternType="solid">
        <fgColor rgb="FFF3F8FA"/>
      </patternFill>
    </fill>
    <fill>
      <patternFill patternType="solid">
        <fgColor rgb="FF7030A0"/>
      </patternFill>
    </fill>
    <fill>
      <patternFill patternType="solid">
        <fgColor rgb="FF59595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006100"/>
      </patternFill>
    </fill>
    <fill>
      <patternFill patternType="solid">
        <fgColor rgb="FFC55A11"/>
      </patternFill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  <border>
      <left style="thin">
        <color rgb="FFC9D2E3"/>
      </left>
      <right style="thin">
        <color rgb="FFC9D2E3"/>
      </right>
      <top style="thin">
        <color rgb="FFC9D2E3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8" fillId="0" borderId="0"/>
  </cellStyleXfs>
  <cellXfs count="78">
    <xf numFmtId="0" fontId="0" fillId="0" borderId="0" xfId="0"/>
    <xf numFmtId="0" fontId="2" fillId="3" borderId="0" xfId="1" applyFont="1" applyFill="1" applyAlignment="1">
      <alignment horizontal="center"/>
    </xf>
    <xf numFmtId="0" fontId="3" fillId="4" borderId="1" xfId="1" applyFont="1" applyFill="1" applyBorder="1"/>
    <xf numFmtId="0" fontId="2" fillId="5" borderId="0" xfId="1" applyFont="1" applyFill="1" applyAlignment="1">
      <alignment horizontal="center"/>
    </xf>
    <xf numFmtId="0" fontId="3" fillId="6" borderId="1" xfId="1" applyFont="1" applyFill="1" applyBorder="1" applyAlignment="1">
      <alignment vertical="top" wrapText="1"/>
    </xf>
    <xf numFmtId="0" fontId="2" fillId="7" borderId="0" xfId="1" applyFont="1" applyFill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3" fillId="9" borderId="1" xfId="1" applyFont="1" applyFill="1" applyBorder="1" applyAlignment="1">
      <alignment wrapText="1"/>
    </xf>
    <xf numFmtId="0" fontId="3" fillId="10" borderId="1" xfId="1" applyFont="1" applyFill="1" applyBorder="1" applyAlignment="1">
      <alignment wrapText="1"/>
    </xf>
    <xf numFmtId="0" fontId="3" fillId="11" borderId="1" xfId="1" applyFont="1" applyFill="1" applyBorder="1" applyAlignment="1">
      <alignment wrapText="1"/>
    </xf>
    <xf numFmtId="0" fontId="3" fillId="12" borderId="1" xfId="1" applyFont="1" applyFill="1" applyBorder="1" applyAlignment="1">
      <alignment wrapText="1"/>
    </xf>
    <xf numFmtId="0" fontId="5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1" fontId="3" fillId="0" borderId="1" xfId="1" applyNumberFormat="1" applyFont="1" applyBorder="1" applyAlignment="1">
      <alignment vertical="top" wrapText="1"/>
    </xf>
    <xf numFmtId="2" fontId="3" fillId="0" borderId="1" xfId="1" applyNumberFormat="1" applyFont="1" applyBorder="1" applyAlignment="1">
      <alignment vertical="top" wrapText="1"/>
    </xf>
    <xf numFmtId="0" fontId="7" fillId="12" borderId="1" xfId="1" applyFont="1" applyFill="1" applyBorder="1" applyAlignment="1">
      <alignment vertical="top" wrapText="1"/>
    </xf>
    <xf numFmtId="0" fontId="3" fillId="0" borderId="1" xfId="1" quotePrefix="1" applyFont="1" applyBorder="1" applyAlignment="1">
      <alignment vertical="top" wrapText="1"/>
    </xf>
    <xf numFmtId="0" fontId="3" fillId="4" borderId="1" xfId="1" quotePrefix="1" applyFont="1" applyFill="1" applyBorder="1"/>
    <xf numFmtId="0" fontId="3" fillId="0" borderId="2" xfId="1" quotePrefix="1" applyFont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3" fillId="0" borderId="1" xfId="1" applyFont="1" applyBorder="1" applyAlignment="1">
      <alignment wrapText="1"/>
    </xf>
    <xf numFmtId="0" fontId="2" fillId="8" borderId="0" xfId="1" applyFont="1" applyFill="1" applyAlignment="1">
      <alignment horizontal="center"/>
    </xf>
    <xf numFmtId="0" fontId="3" fillId="6" borderId="1" xfId="1" applyFont="1" applyFill="1" applyBorder="1" applyAlignment="1">
      <alignment vertical="top" wrapText="1"/>
    </xf>
    <xf numFmtId="0" fontId="2" fillId="5" borderId="0" xfId="1" applyFont="1" applyFill="1" applyAlignment="1">
      <alignment horizontal="center"/>
    </xf>
    <xf numFmtId="0" fontId="4" fillId="15" borderId="0" xfId="1" applyFont="1" applyFill="1" applyAlignment="1">
      <alignment horizontal="center" vertical="center"/>
    </xf>
    <xf numFmtId="0" fontId="4" fillId="16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13" borderId="0" xfId="1" applyFont="1" applyFill="1" applyAlignment="1">
      <alignment horizontal="center" vertical="center"/>
    </xf>
    <xf numFmtId="0" fontId="4" fillId="14" borderId="0" xfId="1" applyFont="1" applyFill="1" applyAlignment="1">
      <alignment horizontal="center" vertical="center"/>
    </xf>
    <xf numFmtId="0" fontId="6" fillId="18" borderId="1" xfId="1" applyFont="1" applyFill="1" applyBorder="1" applyAlignment="1">
      <alignment vertical="top" wrapText="1"/>
    </xf>
    <xf numFmtId="0" fontId="3" fillId="18" borderId="1" xfId="1" applyFont="1" applyFill="1" applyBorder="1" applyAlignment="1">
      <alignment vertical="top" wrapText="1"/>
    </xf>
    <xf numFmtId="0" fontId="3" fillId="18" borderId="1" xfId="1" quotePrefix="1" applyFont="1" applyFill="1" applyBorder="1" applyAlignment="1">
      <alignment vertical="top" wrapText="1"/>
    </xf>
    <xf numFmtId="2" fontId="3" fillId="18" borderId="1" xfId="1" applyNumberFormat="1" applyFont="1" applyFill="1" applyBorder="1" applyAlignment="1">
      <alignment vertical="top" wrapText="1"/>
    </xf>
    <xf numFmtId="176" fontId="3" fillId="18" borderId="1" xfId="1" applyNumberFormat="1" applyFont="1" applyFill="1" applyBorder="1" applyAlignment="1">
      <alignment vertical="top" wrapText="1"/>
    </xf>
    <xf numFmtId="1" fontId="3" fillId="18" borderId="1" xfId="1" applyNumberFormat="1" applyFont="1" applyFill="1" applyBorder="1" applyAlignment="1">
      <alignment vertical="top" wrapText="1"/>
    </xf>
    <xf numFmtId="0" fontId="6" fillId="19" borderId="1" xfId="1" applyFont="1" applyFill="1" applyBorder="1" applyAlignment="1">
      <alignment vertical="top" wrapText="1"/>
    </xf>
    <xf numFmtId="0" fontId="3" fillId="19" borderId="1" xfId="1" applyFont="1" applyFill="1" applyBorder="1" applyAlignment="1">
      <alignment vertical="top" wrapText="1"/>
    </xf>
    <xf numFmtId="0" fontId="3" fillId="19" borderId="1" xfId="1" quotePrefix="1" applyFont="1" applyFill="1" applyBorder="1" applyAlignment="1">
      <alignment vertical="top" wrapText="1"/>
    </xf>
    <xf numFmtId="2" fontId="3" fillId="19" borderId="1" xfId="1" applyNumberFormat="1" applyFont="1" applyFill="1" applyBorder="1" applyAlignment="1">
      <alignment vertical="top" wrapText="1"/>
    </xf>
    <xf numFmtId="176" fontId="3" fillId="19" borderId="1" xfId="1" applyNumberFormat="1" applyFont="1" applyFill="1" applyBorder="1" applyAlignment="1">
      <alignment vertical="top" wrapText="1"/>
    </xf>
    <xf numFmtId="1" fontId="3" fillId="19" borderId="1" xfId="1" applyNumberFormat="1" applyFont="1" applyFill="1" applyBorder="1" applyAlignment="1">
      <alignment vertical="top" wrapText="1"/>
    </xf>
    <xf numFmtId="0" fontId="6" fillId="20" borderId="1" xfId="1" applyFont="1" applyFill="1" applyBorder="1" applyAlignment="1">
      <alignment vertical="top" wrapText="1"/>
    </xf>
    <xf numFmtId="0" fontId="3" fillId="20" borderId="1" xfId="1" applyFont="1" applyFill="1" applyBorder="1" applyAlignment="1">
      <alignment vertical="top" wrapText="1"/>
    </xf>
    <xf numFmtId="0" fontId="3" fillId="20" borderId="1" xfId="1" quotePrefix="1" applyFont="1" applyFill="1" applyBorder="1" applyAlignment="1">
      <alignment vertical="top" wrapText="1"/>
    </xf>
    <xf numFmtId="2" fontId="3" fillId="20" borderId="1" xfId="1" applyNumberFormat="1" applyFont="1" applyFill="1" applyBorder="1" applyAlignment="1">
      <alignment vertical="top" wrapText="1"/>
    </xf>
    <xf numFmtId="176" fontId="3" fillId="20" borderId="1" xfId="1" applyNumberFormat="1" applyFont="1" applyFill="1" applyBorder="1" applyAlignment="1">
      <alignment vertical="top" wrapText="1"/>
    </xf>
    <xf numFmtId="1" fontId="3" fillId="20" borderId="1" xfId="1" applyNumberFormat="1" applyFont="1" applyFill="1" applyBorder="1" applyAlignment="1">
      <alignment vertical="top" wrapText="1"/>
    </xf>
    <xf numFmtId="0" fontId="6" fillId="21" borderId="1" xfId="1" applyFont="1" applyFill="1" applyBorder="1" applyAlignment="1">
      <alignment vertical="top" wrapText="1"/>
    </xf>
    <xf numFmtId="0" fontId="3" fillId="21" borderId="1" xfId="1" applyFont="1" applyFill="1" applyBorder="1" applyAlignment="1">
      <alignment vertical="top" wrapText="1"/>
    </xf>
    <xf numFmtId="0" fontId="3" fillId="21" borderId="1" xfId="1" quotePrefix="1" applyFont="1" applyFill="1" applyBorder="1" applyAlignment="1">
      <alignment vertical="top" wrapText="1"/>
    </xf>
    <xf numFmtId="2" fontId="3" fillId="21" borderId="1" xfId="1" applyNumberFormat="1" applyFont="1" applyFill="1" applyBorder="1" applyAlignment="1">
      <alignment vertical="top" wrapText="1"/>
    </xf>
    <xf numFmtId="176" fontId="3" fillId="21" borderId="1" xfId="1" applyNumberFormat="1" applyFont="1" applyFill="1" applyBorder="1" applyAlignment="1">
      <alignment vertical="top" wrapText="1"/>
    </xf>
    <xf numFmtId="1" fontId="3" fillId="21" borderId="1" xfId="1" applyNumberFormat="1" applyFont="1" applyFill="1" applyBorder="1" applyAlignment="1">
      <alignment vertical="top" wrapText="1"/>
    </xf>
    <xf numFmtId="0" fontId="6" fillId="22" borderId="1" xfId="1" applyFont="1" applyFill="1" applyBorder="1" applyAlignment="1">
      <alignment vertical="top" wrapText="1"/>
    </xf>
    <xf numFmtId="0" fontId="3" fillId="22" borderId="1" xfId="1" applyFont="1" applyFill="1" applyBorder="1" applyAlignment="1">
      <alignment vertical="top" wrapText="1"/>
    </xf>
    <xf numFmtId="0" fontId="3" fillId="22" borderId="1" xfId="1" quotePrefix="1" applyFont="1" applyFill="1" applyBorder="1" applyAlignment="1">
      <alignment vertical="top" wrapText="1"/>
    </xf>
    <xf numFmtId="2" fontId="3" fillId="22" borderId="1" xfId="1" applyNumberFormat="1" applyFont="1" applyFill="1" applyBorder="1" applyAlignment="1">
      <alignment vertical="top" wrapText="1"/>
    </xf>
    <xf numFmtId="176" fontId="3" fillId="22" borderId="1" xfId="1" applyNumberFormat="1" applyFont="1" applyFill="1" applyBorder="1" applyAlignment="1">
      <alignment vertical="top" wrapText="1"/>
    </xf>
    <xf numFmtId="1" fontId="3" fillId="22" borderId="1" xfId="1" applyNumberFormat="1" applyFont="1" applyFill="1" applyBorder="1" applyAlignment="1">
      <alignment vertical="top" wrapText="1"/>
    </xf>
    <xf numFmtId="0" fontId="6" fillId="23" borderId="1" xfId="1" applyFont="1" applyFill="1" applyBorder="1" applyAlignment="1">
      <alignment vertical="top" wrapText="1"/>
    </xf>
    <xf numFmtId="0" fontId="3" fillId="23" borderId="1" xfId="1" applyFont="1" applyFill="1" applyBorder="1" applyAlignment="1">
      <alignment vertical="top" wrapText="1"/>
    </xf>
    <xf numFmtId="2" fontId="3" fillId="23" borderId="1" xfId="1" applyNumberFormat="1" applyFont="1" applyFill="1" applyBorder="1" applyAlignment="1">
      <alignment vertical="top" wrapText="1"/>
    </xf>
    <xf numFmtId="176" fontId="3" fillId="23" borderId="1" xfId="1" applyNumberFormat="1" applyFont="1" applyFill="1" applyBorder="1" applyAlignment="1">
      <alignment vertical="top" wrapText="1"/>
    </xf>
    <xf numFmtId="1" fontId="3" fillId="23" borderId="1" xfId="1" applyNumberFormat="1" applyFont="1" applyFill="1" applyBorder="1" applyAlignment="1">
      <alignment vertical="top" wrapText="1"/>
    </xf>
    <xf numFmtId="0" fontId="3" fillId="23" borderId="1" xfId="1" quotePrefix="1" applyFont="1" applyFill="1" applyBorder="1" applyAlignment="1">
      <alignment vertical="top" wrapText="1"/>
    </xf>
    <xf numFmtId="0" fontId="10" fillId="22" borderId="3" xfId="0" quotePrefix="1" applyFont="1" applyFill="1" applyBorder="1" applyAlignment="1">
      <alignment horizontal="center" vertical="center" wrapText="1"/>
    </xf>
    <xf numFmtId="0" fontId="10" fillId="19" borderId="3" xfId="0" quotePrefix="1" applyFont="1" applyFill="1" applyBorder="1" applyAlignment="1">
      <alignment horizontal="center" vertical="center" wrapText="1"/>
    </xf>
    <xf numFmtId="0" fontId="10" fillId="21" borderId="3" xfId="0" quotePrefix="1" applyFont="1" applyFill="1" applyBorder="1" applyAlignment="1">
      <alignment horizontal="center" vertical="center" wrapText="1"/>
    </xf>
    <xf numFmtId="0" fontId="10" fillId="20" borderId="3" xfId="0" quotePrefix="1" applyFont="1" applyFill="1" applyBorder="1" applyAlignment="1">
      <alignment horizontal="center" vertical="center" wrapText="1"/>
    </xf>
    <xf numFmtId="0" fontId="10" fillId="18" borderId="3" xfId="0" quotePrefix="1" applyFont="1" applyFill="1" applyBorder="1" applyAlignment="1">
      <alignment horizontal="center" vertical="center" wrapText="1"/>
    </xf>
    <xf numFmtId="0" fontId="10" fillId="23" borderId="3" xfId="0" quotePrefix="1" applyFont="1" applyFill="1" applyBorder="1" applyAlignment="1">
      <alignment horizontal="center" vertical="center" wrapText="1"/>
    </xf>
    <xf numFmtId="0" fontId="2" fillId="24" borderId="3" xfId="0" quotePrefix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18"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9EAF7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1F4E78"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1409700</xdr:colOff>
      <xdr:row>12</xdr:row>
      <xdr:rowOff>166688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E0BCD8E-2D8A-65B9-A68C-EB7E57E92E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1409700</xdr:colOff>
      <xdr:row>12</xdr:row>
      <xdr:rowOff>166688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8B439CD-2A79-33C3-7E59-CFD5895573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1409700</xdr:colOff>
      <xdr:row>12</xdr:row>
      <xdr:rowOff>166688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EAF3392-3AD4-5564-6DEF-44802C1A3B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1409700</xdr:colOff>
      <xdr:row>12</xdr:row>
      <xdr:rowOff>166688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617F87C-2E28-34F9-FE4A-B4CC616F6D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1790700</xdr:colOff>
      <xdr:row>5</xdr:row>
      <xdr:rowOff>819150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140BB1CC-6F9F-B087-303D-BF816714E95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1790700</xdr:colOff>
      <xdr:row>5</xdr:row>
      <xdr:rowOff>819150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7748AB5-D3A7-4846-C6D3-831BC81884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000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1790700</xdr:colOff>
      <xdr:row>5</xdr:row>
      <xdr:rowOff>819150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C9F93426-26B5-64CF-9BE2-DBD626B029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000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1790700</xdr:colOff>
      <xdr:row>5</xdr:row>
      <xdr:rowOff>819150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93AEF1D9-1190-D021-B92F-D3F3E7740B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000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1866900</xdr:colOff>
      <xdr:row>9</xdr:row>
      <xdr:rowOff>404813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E312F216-CEE5-92B5-82D3-726BA65CEF3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1866900</xdr:colOff>
      <xdr:row>9</xdr:row>
      <xdr:rowOff>404813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42543F6C-85CF-3212-2FA5-9BE9478278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1866900</xdr:colOff>
      <xdr:row>9</xdr:row>
      <xdr:rowOff>404813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019D0F1-58F5-2E40-E467-1ABAF91782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1866900</xdr:colOff>
      <xdr:row>9</xdr:row>
      <xdr:rowOff>404813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E1B53503-E187-538A-D71C-3F8B07E752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2628900</xdr:colOff>
      <xdr:row>14</xdr:row>
      <xdr:rowOff>128588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B1DBB9F9-E095-7BB4-E4B2-2FA4BAE3629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2628900</xdr:colOff>
      <xdr:row>14</xdr:row>
      <xdr:rowOff>128588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9D7A9B3-8329-98C2-AADD-3F2109F73D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2628900</xdr:colOff>
      <xdr:row>14</xdr:row>
      <xdr:rowOff>128588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6FBCFD-CA21-1B5D-5675-65CDEE2DD2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2628900</xdr:colOff>
      <xdr:row>14</xdr:row>
      <xdr:rowOff>128588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D396972-78E0-940C-EE12-E79734216F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1104900</xdr:colOff>
      <xdr:row>11</xdr:row>
      <xdr:rowOff>76200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1C349084-FF14-6A8C-75F7-72A846E297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1104900</xdr:colOff>
      <xdr:row>11</xdr:row>
      <xdr:rowOff>76200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43B8A01-87DF-40F4-04F2-4E8D952FB9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1104900</xdr:colOff>
      <xdr:row>11</xdr:row>
      <xdr:rowOff>76200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751EAF0-74A3-1F8C-623B-8F437B7A5F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1104900</xdr:colOff>
      <xdr:row>11</xdr:row>
      <xdr:rowOff>76200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EA12F87-3A75-D1B1-381E-FE84FEE43C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2857500</xdr:colOff>
      <xdr:row>9</xdr:row>
      <xdr:rowOff>409575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CF178814-FE4F-E4B0-C26B-C377CAEB36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2857500</xdr:colOff>
      <xdr:row>9</xdr:row>
      <xdr:rowOff>409575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525483F-242B-5076-8FA8-4B4C6A7B2D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2857500</xdr:colOff>
      <xdr:row>9</xdr:row>
      <xdr:rowOff>409575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397C4F3-B1F3-3FFA-C975-3E88A73B84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2857500</xdr:colOff>
      <xdr:row>9</xdr:row>
      <xdr:rowOff>409575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F0698D-6FF7-A89E-CC30-BFCDAEF6E6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1257300</xdr:colOff>
      <xdr:row>8</xdr:row>
      <xdr:rowOff>123825</xdr:rowOff>
    </xdr:to>
    <xdr:sp macro="" textlink="">
      <xdr:nvSpPr>
        <xdr:cNvPr id="7170" name="Text Box 2" hidden="1">
          <a:extLst>
            <a:ext uri="{FF2B5EF4-FFF2-40B4-BE49-F238E27FC236}">
              <a16:creationId xmlns:a16="http://schemas.microsoft.com/office/drawing/2014/main" id="{CD31122E-C133-A371-7896-1A73B4082DA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1257300</xdr:colOff>
      <xdr:row>8</xdr:row>
      <xdr:rowOff>123825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9B7737-2343-85A7-1BED-E3AE352C62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1257300</xdr:colOff>
      <xdr:row>8</xdr:row>
      <xdr:rowOff>123825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730AA23-9DA7-5281-F6CE-679351D4D1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1257300</xdr:colOff>
      <xdr:row>8</xdr:row>
      <xdr:rowOff>123825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4B388CE-3711-78CC-50B2-FC660805B0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266700</xdr:colOff>
      <xdr:row>10</xdr:row>
      <xdr:rowOff>57150</xdr:rowOff>
    </xdr:to>
    <xdr:sp macro="" textlink="">
      <xdr:nvSpPr>
        <xdr:cNvPr id="8194" name="Text Box 2" hidden="1">
          <a:extLst>
            <a:ext uri="{FF2B5EF4-FFF2-40B4-BE49-F238E27FC236}">
              <a16:creationId xmlns:a16="http://schemas.microsoft.com/office/drawing/2014/main" id="{8CA1529B-F280-5330-C8C4-9E3A3CC4875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266700</xdr:colOff>
      <xdr:row>10</xdr:row>
      <xdr:rowOff>57150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F25FEF2-85F2-FCF6-FB8D-1B79961CF2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266700</xdr:colOff>
      <xdr:row>10</xdr:row>
      <xdr:rowOff>57150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F0C2C5C-A976-4C0E-596B-445297465D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266700</xdr:colOff>
      <xdr:row>10</xdr:row>
      <xdr:rowOff>57150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75D479C2-38CE-6DEA-9AE2-E06ABFC92E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495300</xdr:colOff>
      <xdr:row>8</xdr:row>
      <xdr:rowOff>590550</xdr:rowOff>
    </xdr:to>
    <xdr:sp macro="" textlink="">
      <xdr:nvSpPr>
        <xdr:cNvPr id="9218" name="Text Box 2" hidden="1">
          <a:extLst>
            <a:ext uri="{FF2B5EF4-FFF2-40B4-BE49-F238E27FC236}">
              <a16:creationId xmlns:a16="http://schemas.microsoft.com/office/drawing/2014/main" id="{1CEEA90E-DB2C-A83D-7CEE-D8E20184EE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495300</xdr:colOff>
      <xdr:row>8</xdr:row>
      <xdr:rowOff>590550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8A5E786-E33E-3467-083D-8682D58D5F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495300</xdr:colOff>
      <xdr:row>8</xdr:row>
      <xdr:rowOff>590550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880A640-8444-FD2A-EA7D-A6E1E901FC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495300</xdr:colOff>
      <xdr:row>8</xdr:row>
      <xdr:rowOff>590550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30ECB67-ED85-9D4E-2FC0-01D1F912A7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odex Research" id="{0B829FD7-783B-438E-A081-F979D0ECE919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MasterTable" displayName="MASMasterTable" ref="A2:BV83">
  <sortState xmlns:xlrd2="http://schemas.microsoft.com/office/spreadsheetml/2017/richdata2" ref="A3:BV83">
    <sortCondition descending="1" ref="AH3:AH83"/>
  </sortState>
  <tableColumns count="74">
    <tableColumn id="1" xr3:uid="{00000000-0010-0000-0000-000001000000}" name="学校"/>
    <tableColumn id="2" xr3:uid="{00000000-0010-0000-0000-000002000000}" name="985"/>
    <tableColumn id="3" xr3:uid="{00000000-0010-0000-0000-000003000000}" name="211"/>
    <tableColumn id="4" xr3:uid="{00000000-0010-0000-0000-000004000000}" name="2026招生学院/单位"/>
    <tableColumn id="5" xr3:uid="{00000000-0010-0000-0000-000005000000}" name="学习方式"/>
    <tableColumn id="6" xr3:uid="{00000000-0010-0000-0000-000006000000}" name="Title综合分"/>
    <tableColumn id="7" xr3:uid="{00000000-0010-0000-0000-000007000000}" name="量化金融HR分"/>
    <tableColumn id="8" xr3:uid="{00000000-0010-0000-0000-000008000000}" name="互联网数据HR分"/>
    <tableColumn id="9" xr3:uid="{00000000-0010-0000-0000-000009000000}" name="评分档"/>
    <tableColumn id="10" xr3:uid="{00000000-0010-0000-0000-00000A000000}" name="评分理由"/>
    <tableColumn id="11" xr3:uid="{00000000-0010-0000-0000-00000B000000}" name="政治"/>
    <tableColumn id="12" xr3:uid="{00000000-0010-0000-0000-00000C000000}" name="英语"/>
    <tableColumn id="13" xr3:uid="{00000000-0010-0000-0000-00000D000000}" name="数学/经综"/>
    <tableColumn id="14" xr3:uid="{00000000-0010-0000-0000-00000E000000}" name="专业课"/>
    <tableColumn id="15" xr3:uid="{00000000-0010-0000-0000-00000F000000}" name="官方范围说明"/>
    <tableColumn id="16" xr3:uid="{00000000-0010-0000-0000-000010000000}" name="官方指定教材"/>
    <tableColumn id="17" xr3:uid="{00000000-0010-0000-0000-000011000000}" name="官方教材状态"/>
    <tableColumn id="18" xr3:uid="{00000000-0010-0000-0000-000012000000}" name="432覆盖"/>
    <tableColumn id="19" xr3:uid="{00000000-0010-0000-0000-000013000000}" name="432文章数"/>
    <tableColumn id="20" xr3:uid="{00000000-0010-0000-0000-000014000000}" name="取得海报数"/>
    <tableColumn id="21" xr3:uid="{00000000-0010-0000-0000-000015000000}" name="机构课程/教材线索（非官方）"/>
    <tableColumn id="22" xr3:uid="{00000000-0010-0000-0000-000016000000}" name="机构课程结构标签（不用于真题判断）"/>
    <tableColumn id="23" xr3:uid="{00000000-0010-0000-0000-000017000000}" name="机构线索说明"/>
    <tableColumn id="24" xr3:uid="{00000000-0010-0000-0000-000018000000}" name="复试科目"/>
    <tableColumn id="25" xr3:uid="{00000000-0010-0000-0000-000019000000}" name="复试笔试"/>
    <tableColumn id="26" xr3:uid="{00000000-0010-0000-0000-00001A000000}" name="复试面试"/>
    <tableColumn id="27" xr3:uid="{00000000-0010-0000-0000-00001B000000}" name="复试信息新鲜度"/>
    <tableColumn id="28" xr3:uid="{00000000-0010-0000-0000-00001C000000}" name="最新复录比"/>
    <tableColumn id="29" xr3:uid="{00000000-0010-0000-0000-00001D000000}" name="复录比年份"/>
    <tableColumn id="30" xr3:uid="{00000000-0010-0000-0000-00001E000000}" name="2022复试线"/>
    <tableColumn id="31" xr3:uid="{00000000-0010-0000-0000-00001F000000}" name="2023复试线"/>
    <tableColumn id="32" xr3:uid="{00000000-0010-0000-0000-000020000000}" name="2024复试线"/>
    <tableColumn id="33" xr3:uid="{00000000-0010-0000-0000-000021000000}" name="2025复试线"/>
    <tableColumn id="34" xr3:uid="{00000000-0010-0000-0000-000022000000}" name="2026复试线"/>
    <tableColumn id="35" xr3:uid="{00000000-0010-0000-0000-000023000000}" name="5年线均值"/>
    <tableColumn id="36" xr3:uid="{00000000-0010-0000-0000-000024000000}" name="5年线标准差"/>
    <tableColumn id="37" xr3:uid="{00000000-0010-0000-0000-000025000000}" name="有效年份N"/>
    <tableColumn id="38" xr3:uid="{00000000-0010-0000-0000-000026000000}" name="分数线证据层级"/>
    <tableColumn id="39" xr3:uid="{00000000-0010-0000-0000-000027000000}" name="22拟录取最低"/>
    <tableColumn id="40" xr3:uid="{00000000-0010-0000-0000-000028000000}" name="23拟录取最低"/>
    <tableColumn id="41" xr3:uid="{00000000-0010-0000-0000-000029000000}" name="24拟录取最低"/>
    <tableColumn id="42" xr3:uid="{00000000-0010-0000-0000-00002A000000}" name="25拟录取最低"/>
    <tableColumn id="43" xr3:uid="{00000000-0010-0000-0000-00002B000000}" name="26拟录取最低"/>
    <tableColumn id="44" xr3:uid="{00000000-0010-0000-0000-00002C000000}" name="22拟录取中位"/>
    <tableColumn id="45" xr3:uid="{00000000-0010-0000-0000-00002D000000}" name="23拟录取中位"/>
    <tableColumn id="46" xr3:uid="{00000000-0010-0000-0000-00002E000000}" name="24拟录取中位"/>
    <tableColumn id="47" xr3:uid="{00000000-0010-0000-0000-00002F000000}" name="25拟录取中位"/>
    <tableColumn id="48" xr3:uid="{00000000-0010-0000-0000-000030000000}" name="26拟录取中位"/>
    <tableColumn id="49" xr3:uid="{00000000-0010-0000-0000-000031000000}" name="拟录取可得年份"/>
    <tableColumn id="50" xr3:uid="{00000000-0010-0000-0000-000032000000}" name="可得样本最低"/>
    <tableColumn id="51" xr3:uid="{00000000-0010-0000-0000-000033000000}" name="可得样本中位"/>
    <tableColumn id="52" xr3:uid="{00000000-0010-0000-0000-000034000000}" name="双非占比"/>
    <tableColumn id="53" xr3:uid="{00000000-0010-0000-0000-000035000000}" name="双非最低"/>
    <tableColumn id="54" xr3:uid="{00000000-0010-0000-0000-000036000000}" name="双非中位"/>
    <tableColumn id="55" xr3:uid="{00000000-0010-0000-0000-000037000000}" name="双非分数溢出率"/>
    <tableColumn id="56" xr3:uid="{00000000-0010-0000-0000-000038000000}" name="本科背景状态"/>
    <tableColumn id="57" xr3:uid="{00000000-0010-0000-0000-000039000000}" name="学院校区地址（到区）"/>
    <tableColumn id="58" xr3:uid="{00000000-0010-0000-0000-00003A000000}" name="市中心地标"/>
    <tableColumn id="59" xr3:uid="{00000000-0010-0000-0000-00003B000000}" name="公共交通通勤"/>
    <tableColumn id="60" xr3:uid="{00000000-0010-0000-0000-00003C000000}" name="通勤口径"/>
    <tableColumn id="61" xr3:uid="{00000000-0010-0000-0000-00003D000000}" name="学制"/>
    <tableColumn id="62" xr3:uid="{00000000-0010-0000-0000-00003E000000}" name="学费"/>
    <tableColumn id="63" xr3:uid="{00000000-0010-0000-0000-00003F000000}" name="学费新鲜度"/>
    <tableColumn id="64" xr3:uid="{00000000-0010-0000-0000-000040000000}" name="资料完整度"/>
    <tableColumn id="65" xr3:uid="{00000000-0010-0000-0000-000041000000}" name="核验日期"/>
    <tableColumn id="66" xr3:uid="{00000000-0010-0000-0000-000042000000}" name="机构真题索引年份（仅线索）"/>
    <tableColumn id="67" xr3:uid="{00000000-0010-0000-0000-000043000000}" name="可核卷年份"/>
    <tableColumn id="68" xr3:uid="{00000000-0010-0000-0000-000044000000}" name="可核完整原卷/回忆版份数"/>
    <tableColumn id="69" xr3:uid="{00000000-0010-0000-0000-000045000000}" name="其中官方完整原卷份数"/>
    <tableColumn id="70" xr3:uid="{00000000-0010-0000-0000-000046000000}" name="真题题型统计"/>
    <tableColumn id="71" xr3:uid="{00000000-0010-0000-0000-000047000000}" name="真题偏向结论"/>
    <tableColumn id="72" xr3:uid="{00000000-0010-0000-0000-000048000000}" name="真题证据等级"/>
    <tableColumn id="73" xr3:uid="{00000000-0010-0000-0000-000049000000}" name="最新官方大纲题型"/>
    <tableColumn id="74" xr3:uid="{00000000-0010-0000-0000-00004A000000}" name="真题/大纲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YearDetail" displayName="MASYearDetail" ref="A4:S409">
  <tableColumns count="19">
    <tableColumn id="1" xr3:uid="{00000000-0010-0000-0100-000001000000}" name="学校"/>
    <tableColumn id="2" xr3:uid="{00000000-0010-0000-0100-000002000000}" name="年份"/>
    <tableColumn id="3" xr3:uid="{00000000-0010-0000-0100-000003000000}" name="选择数值"/>
    <tableColumn id="4" xr3:uid="{00000000-0010-0000-0100-000004000000}" name="复试线文本"/>
    <tableColumn id="5" xr3:uid="{00000000-0010-0000-0100-000005000000}" name="线证据等级"/>
    <tableColumn id="6" xr3:uid="{00000000-0010-0000-0100-000006000000}" name="多学院/方向明细"/>
    <tableColumn id="7" xr3:uid="{00000000-0010-0000-0100-000007000000}" name="分数线来源"/>
    <tableColumn id="8" xr3:uid="{00000000-0010-0000-0100-000008000000}" name="拟录取人数"/>
    <tableColumn id="9" xr3:uid="{00000000-0010-0000-0100-000009000000}" name="拟录取最低"/>
    <tableColumn id="10" xr3:uid="{00000000-0010-0000-0100-00000A000000}" name="拟录取中位"/>
    <tableColumn id="11" xr3:uid="{00000000-0010-0000-0100-00000B000000}" name="拟录取最高"/>
    <tableColumn id="12" xr3:uid="{00000000-0010-0000-0100-00000C000000}" name="复试人数"/>
    <tableColumn id="13" xr3:uid="{00000000-0010-0000-0100-00000D000000}" name="复录比"/>
    <tableColumn id="14" xr3:uid="{00000000-0010-0000-0100-00000E000000}" name="双非占比"/>
    <tableColumn id="15" xr3:uid="{00000000-0010-0000-0100-00000F000000}" name="双非最低"/>
    <tableColumn id="16" xr3:uid="{00000000-0010-0000-0100-000010000000}" name="双非中位"/>
    <tableColumn id="17" xr3:uid="{00000000-0010-0000-0100-000011000000}" name="溢出率"/>
    <tableColumn id="18" xr3:uid="{00000000-0010-0000-0100-000012000000}" name="本科背景状态"/>
    <tableColumn id="19" xr3:uid="{00000000-0010-0000-0100-000013000000}" name="录取来源/备注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chat432Index" displayName="Wechat432Index" ref="A11:L66">
  <tableColumns count="12">
    <tableColumn id="1" xr3:uid="{00000000-0010-0000-0200-000001000000}" name="序号"/>
    <tableColumn id="2" xr3:uid="{00000000-0010-0000-0200-000002000000}" name="学校/项目"/>
    <tableColumn id="3" xr3:uid="{00000000-0010-0000-0200-000003000000}" name="标题"/>
    <tableColumn id="4" xr3:uid="{00000000-0010-0000-0200-000004000000}" name="发布日期"/>
    <tableColumn id="5" xr3:uid="{00000000-0010-0000-0200-000005000000}" name="文章状态"/>
    <tableColumn id="6" xr3:uid="{00000000-0010-0000-0200-000006000000}" name="海报数"/>
    <tableColumn id="7" xr3:uid="{00000000-0010-0000-0200-000007000000}" name="OCR分片"/>
    <tableColumn id="8" xr3:uid="{00000000-0010-0000-0200-000008000000}" name="重复"/>
    <tableColumn id="9" xr3:uid="{00000000-0010-0000-0200-000009000000}" name="985/211主表范围"/>
    <tableColumn id="10" xr3:uid="{00000000-0010-0000-0200-00000A000000}" name="OCR关键词"/>
    <tableColumn id="11" xr3:uid="{00000000-0010-0000-0200-00000B000000}" name="文章URL"/>
    <tableColumn id="12" xr3:uid="{00000000-0010-0000-0200-00000C000000}" name="说明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Ledger" displayName="SourceLedger" ref="A4:E50">
  <tableColumns count="5">
    <tableColumn id="1" xr3:uid="{00000000-0010-0000-0300-000001000000}" name="来源名称"/>
    <tableColumn id="2" xr3:uid="{00000000-0010-0000-0300-000002000000}" name="等级"/>
    <tableColumn id="3" xr3:uid="{00000000-0010-0000-0300-000003000000}" name="覆盖字段"/>
    <tableColumn id="4" xr3:uid="{00000000-0010-0000-0300-000004000000}" name="URL"/>
    <tableColumn id="5" xr3:uid="{00000000-0010-0000-0300-000005000000}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thodologyTable" displayName="MethodologyTable" ref="A4:B22">
  <tableColumns count="2">
    <tableColumn id="1" xr3:uid="{00000000-0010-0000-0400-000001000000}" name="主题"/>
    <tableColumn id="2" xr3:uid="{00000000-0010-0000-0400-000002000000}" name="规则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ueExamEvidence" displayName="TrueExamEvidence" ref="A4:L19">
  <tableColumns count="12">
    <tableColumn id="1" xr3:uid="{00000000-0010-0000-0500-000001000000}" name="学校"/>
    <tableColumn id="2" xr3:uid="{00000000-0010-0000-0500-000002000000}" name="年份"/>
    <tableColumn id="3" xr3:uid="{00000000-0010-0000-0500-000003000000}" name="证据类型"/>
    <tableColumn id="4" xr3:uid="{00000000-0010-0000-0500-000004000000}" name="证据等级"/>
    <tableColumn id="5" xr3:uid="{00000000-0010-0000-0500-000005000000}" name="完整性"/>
    <tableColumn id="6" xr3:uid="{00000000-0010-0000-0500-000006000000}" name="题型/分值结构"/>
    <tableColumn id="7" xr3:uid="{00000000-0010-0000-0500-000007000000}" name="偏向"/>
    <tableColumn id="8" xr3:uid="{00000000-0010-0000-0500-000008000000}" name="可否下结论"/>
    <tableColumn id="9" xr3:uid="{00000000-0010-0000-0500-000009000000}" name="文件URL"/>
    <tableColumn id="10" xr3:uid="{00000000-0010-0000-0500-00000A000000}" name="官方页URL"/>
    <tableColumn id="11" xr3:uid="{00000000-0010-0000-0500-00000B000000}" name="本地/网页核验"/>
    <tableColumn id="12" xr3:uid="{00000000-0010-0000-0500-00000C000000}" name="限制与备注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ueExamIndexCoverage" displayName="TrueExamIndexCoverage" ref="A4:F85">
  <tableColumns count="6">
    <tableColumn id="1" xr3:uid="{00000000-0010-0000-0600-000001000000}" name="学校"/>
    <tableColumn id="2" xr3:uid="{00000000-0010-0000-0600-000002000000}" name="索引年份"/>
    <tableColumn id="3" xr3:uid="{00000000-0010-0000-0600-000003000000}" name="是否命中"/>
    <tableColumn id="4" xr3:uid="{00000000-0010-0000-0600-000004000000}" name="证据层级"/>
    <tableColumn id="5" xr3:uid="{00000000-0010-0000-0600-000005000000}" name="来源URL"/>
    <tableColumn id="6" xr3:uid="{00000000-0010-0000-0600-000006000000}" name="限制说明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ieldGapAudit" displayName="FieldGapAudit" ref="A4:L85">
  <tableColumns count="12">
    <tableColumn id="1" xr3:uid="{00000000-0010-0000-0700-000001000000}" name="学校"/>
    <tableColumn id="2" xr3:uid="{00000000-0010-0000-0700-000002000000}" name="复试线数值缺失年份"/>
    <tableColumn id="3" xr3:uid="{00000000-0010-0000-0700-000003000000}" name="复试线弱证据年份"/>
    <tableColumn id="4" xr3:uid="{00000000-0010-0000-0700-000004000000}" name="拟录取统计缺失年份"/>
    <tableColumn id="5" xr3:uid="{00000000-0010-0000-0700-000005000000}" name="最新复录比"/>
    <tableColumn id="6" xr3:uid="{00000000-0010-0000-0700-000006000000}" name="本科背景"/>
    <tableColumn id="7" xr3:uid="{00000000-0010-0000-0700-000007000000}" name="官方教材"/>
    <tableColumn id="8" xr3:uid="{00000000-0010-0000-0700-000008000000}" name="学费"/>
    <tableColumn id="9" xr3:uid="{00000000-0010-0000-0700-000009000000}" name="真题证据"/>
    <tableColumn id="10" xr3:uid="{00000000-0010-0000-0700-00000A000000}" name="优先级"/>
    <tableColumn id="11" xr3:uid="{00000000-0010-0000-0700-00000B000000}" name="下一官方检索渠道"/>
    <tableColumn id="12" xr3:uid="{00000000-0010-0000-0700-00000C000000}" name="审计备注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3T23:49:34.11" personId="{0B829FD7-783B-438E-A081-F979D0ECE919}" id="{8E3E5B49-DB45-B84B-BC0D-6C8AF69D753D}">
    <text>2026-08-13核验快照；官方最新 &gt; 机构最新 &gt; 官方旧 &gt; 机构旧。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6-08-13T23:49:34.14" personId="{0B829FD7-783B-438E-A081-F979D0ECE919}" id="{6C4E092D-2BDA-08F4-5CB8-F18555D193E7}">
    <text>0-100主观求职辨识度。综合分来自学校/学科/城市/招聘触达判断；量化与数据列作行业修正。</text>
  </threadedComment>
  <threadedComment ref="AI2" dT="2026-08-13T23:49:34.15" personId="{0B829FD7-783B-438E-A081-F979D0ECE919}" id="{85A5AAEE-F91C-29C9-E2DC-8205A6659E62}">
    <text>只对AD:AH中有数值的年份求平均；国家线底线且院线未核的年份为空，不参与。</text>
  </threadedComment>
  <threadedComment ref="AZ2" dT="2026-08-13T23:49:34.15" personId="{0B829FD7-783B-438E-A081-F979D0ECE919}" id="{F6B9BEB2-9A8E-5237-D816-7890322984B6}">
    <text>双非相关字段为空是“不可计算”，不是0。</text>
  </threadedComment>
  <threadedComment ref="BN2" dT="2026-08-13T23:49:34.15" personId="{0B829FD7-783B-438E-A081-F979D0ECE919}" id="{BA61A231-A21D-9C01-9AC4-A706388238AF}">
    <text>机构维护的真题年份目录只用于发现线索；未阅读到卷面时不计作已核真题。</text>
  </threadedComment>
  <threadedComment ref="BP2" dT="2026-08-13T23:49:34.15" personId="{0B829FD7-783B-438E-A081-F979D0ECE919}" id="{BE29BC93-7298-3B4C-1100-CDA34352B12C}">
    <text>完整份数含明确标注的完整回忆版；BQ单列其中学校官网完整原卷数。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8-13T23:49:34.17" personId="{0B829FD7-783B-438E-A081-F979D0ECE919}" id="{558E2EA9-2FED-0CBE-0F77-ABCB07598E9F}">
    <text>一校一年一行；行级来源和证据质量均保留。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6-08-13T23:49:34.19" personId="{0B829FD7-783B-438E-A081-F979D0ECE919}" id="{88F1C7AB-14CC-886C-FC54-8F92356D0D04}">
    <text>只纳入标题含432定向班的文章；南昌大学重复一篇。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6-08-13T23:49:34.24" personId="{0B829FD7-783B-438E-A081-F979D0ECE919}" id="{813FBD6C-AD4E-0A30-D30A-1A22453F3F8E}">
    <text>行级链接另见年度线与录取、卡方432索引。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dT="2026-08-13T23:49:34.24" personId="{0B829FD7-783B-438E-A081-F979D0ECE919}" id="{D4C27EEF-1B2E-DE20-2807-F8B98BE134B4}">
    <text>任何不可核字段宁可留空，不用推断补齐。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dT="2026-08-13T15:13:18.87" personId="{0B829FD7-783B-438E-A081-F979D0ECE919}" id="{AA387317-445A-B4D6-AD20-FC2CBA25B5BA}">
    <text>题型结论只来自本表的可读卷面/大纲；不完整片段不外推整卷，旧卷不直接外推2026。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6-08-13T23:49:34.25" personId="{0B829FD7-783B-438E-A081-F979D0ECE919}" id="{E19A373E-CD44-C3C9-3F83-3E86FFCC9D0F}">
    <text>索引命中不等于已取得原卷，也不等于卷面完整；只用于后续定向检索。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" dT="2026-08-13T23:49:34.25" personId="{0B829FD7-783B-438E-A081-F979D0ECE919}" id="{E9F64CD3-7910-E1FA-19BD-9D6E1119B925}">
    <text>高优先级通常是拟录取名单/复试名单未闭合；空白不是0，也不用低权重网文强行填满。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opLeftCell="B10" workbookViewId="0">
      <selection activeCell="E12" sqref="E12:J12"/>
    </sheetView>
  </sheetViews>
  <sheetFormatPr defaultRowHeight="13.5"/>
  <cols>
    <col min="1" max="1" width="30" customWidth="1"/>
    <col min="2" max="2" width="14" customWidth="1"/>
    <col min="3" max="3" width="30" customWidth="1"/>
    <col min="4" max="4" width="14" customWidth="1"/>
    <col min="5" max="5" width="3" customWidth="1"/>
    <col min="6" max="6" width="14" customWidth="1"/>
    <col min="7" max="10" width="22" customWidth="1"/>
  </cols>
  <sheetData>
    <row r="1" spans="1:10" ht="28.0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8.05" customHeight="1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ht="13.9">
      <c r="A4" s="1" t="s">
        <v>1</v>
      </c>
      <c r="B4" s="1" t="s">
        <v>2</v>
      </c>
      <c r="D4" s="25" t="s">
        <v>3</v>
      </c>
      <c r="E4" s="25"/>
      <c r="F4" s="25"/>
      <c r="G4" s="25"/>
      <c r="H4" s="25"/>
      <c r="I4" s="25"/>
      <c r="J4" s="25"/>
    </row>
    <row r="5" spans="1:10" ht="35" customHeight="1">
      <c r="A5" s="2" t="s">
        <v>4</v>
      </c>
      <c r="B5" s="2">
        <v>81</v>
      </c>
      <c r="D5" s="4" t="s">
        <v>5</v>
      </c>
      <c r="E5" s="24" t="s">
        <v>6</v>
      </c>
      <c r="F5" s="24"/>
      <c r="G5" s="24"/>
      <c r="H5" s="24"/>
      <c r="I5" s="24"/>
      <c r="J5" s="24"/>
    </row>
    <row r="6" spans="1:10" ht="35" customHeight="1">
      <c r="A6" s="2" t="s">
        <v>7</v>
      </c>
      <c r="B6" s="2">
        <v>29</v>
      </c>
      <c r="D6" s="4" t="s">
        <v>8</v>
      </c>
      <c r="E6" s="24" t="s">
        <v>9</v>
      </c>
      <c r="F6" s="24"/>
      <c r="G6" s="24"/>
      <c r="H6" s="24"/>
      <c r="I6" s="24"/>
      <c r="J6" s="24"/>
    </row>
    <row r="7" spans="1:10" ht="35" customHeight="1">
      <c r="A7" s="2" t="s">
        <v>10</v>
      </c>
      <c r="B7" s="2" t="s">
        <v>11</v>
      </c>
      <c r="D7" s="4" t="s">
        <v>12</v>
      </c>
      <c r="E7" s="24" t="s">
        <v>13</v>
      </c>
      <c r="F7" s="24"/>
      <c r="G7" s="24"/>
      <c r="H7" s="24"/>
      <c r="I7" s="24"/>
      <c r="J7" s="24"/>
    </row>
    <row r="8" spans="1:10" ht="35" customHeight="1">
      <c r="A8" s="2" t="s">
        <v>14</v>
      </c>
      <c r="B8" s="2">
        <v>7</v>
      </c>
      <c r="D8" s="4" t="s">
        <v>15</v>
      </c>
      <c r="E8" s="24" t="s">
        <v>16</v>
      </c>
      <c r="F8" s="24"/>
      <c r="G8" s="24"/>
      <c r="H8" s="24"/>
      <c r="I8" s="24"/>
      <c r="J8" s="24"/>
    </row>
    <row r="9" spans="1:10" ht="35" customHeight="1">
      <c r="A9" s="2" t="s">
        <v>17</v>
      </c>
      <c r="B9" s="2">
        <v>5</v>
      </c>
      <c r="D9" s="4" t="s">
        <v>18</v>
      </c>
      <c r="E9" s="24" t="s">
        <v>19</v>
      </c>
      <c r="F9" s="24"/>
      <c r="G9" s="24"/>
      <c r="H9" s="24"/>
      <c r="I9" s="24"/>
      <c r="J9" s="24"/>
    </row>
    <row r="10" spans="1:10" ht="35" customHeight="1">
      <c r="A10" s="2" t="s">
        <v>20</v>
      </c>
      <c r="B10" s="2">
        <v>176</v>
      </c>
      <c r="D10" s="4" t="s">
        <v>21</v>
      </c>
      <c r="E10" s="24" t="s">
        <v>22</v>
      </c>
      <c r="F10" s="24"/>
      <c r="G10" s="24"/>
      <c r="H10" s="24"/>
      <c r="I10" s="24"/>
      <c r="J10" s="24"/>
    </row>
    <row r="11" spans="1:10" ht="35" customHeight="1">
      <c r="A11" s="2" t="s">
        <v>23</v>
      </c>
      <c r="B11" s="2">
        <v>77</v>
      </c>
      <c r="D11" s="4" t="s">
        <v>24</v>
      </c>
      <c r="E11" s="24" t="s">
        <v>25</v>
      </c>
      <c r="F11" s="24"/>
      <c r="G11" s="24"/>
      <c r="H11" s="24"/>
      <c r="I11" s="24"/>
      <c r="J11" s="24"/>
    </row>
    <row r="12" spans="1:10" ht="35" customHeight="1">
      <c r="A12" s="2" t="s">
        <v>26</v>
      </c>
      <c r="B12" s="19" t="s">
        <v>1865</v>
      </c>
      <c r="D12" s="4" t="s">
        <v>28</v>
      </c>
      <c r="E12" s="24" t="s">
        <v>29</v>
      </c>
      <c r="F12" s="24"/>
      <c r="G12" s="24"/>
      <c r="H12" s="24"/>
      <c r="I12" s="24"/>
      <c r="J12" s="24"/>
    </row>
    <row r="13" spans="1:10" ht="69.400000000000006">
      <c r="A13" s="77" t="s">
        <v>2463</v>
      </c>
      <c r="B13" s="71" t="s">
        <v>2464</v>
      </c>
      <c r="C13" s="72" t="s">
        <v>2465</v>
      </c>
      <c r="D13" s="73" t="s">
        <v>2466</v>
      </c>
      <c r="E13" s="74" t="s">
        <v>2479</v>
      </c>
      <c r="F13" s="75" t="s">
        <v>2480</v>
      </c>
      <c r="G13" s="76" t="s">
        <v>2467</v>
      </c>
    </row>
    <row r="14" spans="1:10" ht="55.5">
      <c r="A14" s="77" t="s">
        <v>2481</v>
      </c>
      <c r="B14" s="71" t="s">
        <v>2477</v>
      </c>
      <c r="C14" s="72" t="s">
        <v>2478</v>
      </c>
      <c r="D14" s="73" t="s">
        <v>2468</v>
      </c>
      <c r="E14" s="74" t="s">
        <v>2469</v>
      </c>
      <c r="F14" s="75" t="s">
        <v>2470</v>
      </c>
      <c r="G14" s="76" t="s">
        <v>2471</v>
      </c>
    </row>
    <row r="15" spans="1:10" ht="13.9">
      <c r="A15" s="5" t="s">
        <v>30</v>
      </c>
      <c r="B15" s="5" t="s">
        <v>31</v>
      </c>
      <c r="C15" s="5" t="s">
        <v>32</v>
      </c>
      <c r="D15" s="5" t="s">
        <v>31</v>
      </c>
      <c r="F15" s="23" t="s">
        <v>33</v>
      </c>
      <c r="G15" s="23"/>
      <c r="H15" s="23"/>
      <c r="I15" s="23"/>
      <c r="J15" s="23"/>
    </row>
    <row r="16" spans="1:10" ht="13.9">
      <c r="A16" s="6" t="s">
        <v>34</v>
      </c>
      <c r="B16" s="6">
        <v>100</v>
      </c>
      <c r="C16" s="6" t="s">
        <v>34</v>
      </c>
      <c r="D16" s="6">
        <v>100</v>
      </c>
      <c r="F16" s="8" t="s">
        <v>35</v>
      </c>
      <c r="G16" s="22" t="s">
        <v>36</v>
      </c>
      <c r="H16" s="22"/>
      <c r="I16" s="22"/>
      <c r="J16" s="22"/>
    </row>
    <row r="17" spans="1:10" ht="13.9">
      <c r="A17" s="6" t="s">
        <v>37</v>
      </c>
      <c r="B17" s="6">
        <v>100</v>
      </c>
      <c r="C17" s="6" t="s">
        <v>38</v>
      </c>
      <c r="D17" s="6">
        <v>100</v>
      </c>
      <c r="F17" s="9" t="s">
        <v>39</v>
      </c>
      <c r="G17" s="22" t="s">
        <v>40</v>
      </c>
      <c r="H17" s="22"/>
      <c r="I17" s="22"/>
      <c r="J17" s="22"/>
    </row>
    <row r="18" spans="1:10" ht="13.9">
      <c r="A18" s="6" t="s">
        <v>38</v>
      </c>
      <c r="B18" s="6">
        <v>100</v>
      </c>
      <c r="C18" s="6" t="s">
        <v>37</v>
      </c>
      <c r="D18" s="6">
        <v>99</v>
      </c>
      <c r="F18" s="10" t="s">
        <v>41</v>
      </c>
      <c r="G18" s="22" t="s">
        <v>42</v>
      </c>
      <c r="H18" s="22"/>
      <c r="I18" s="22"/>
      <c r="J18" s="22"/>
    </row>
    <row r="19" spans="1:10" ht="13.9">
      <c r="A19" s="6" t="s">
        <v>43</v>
      </c>
      <c r="B19" s="6">
        <v>99</v>
      </c>
      <c r="C19" s="6" t="s">
        <v>44</v>
      </c>
      <c r="D19" s="6">
        <v>99</v>
      </c>
      <c r="F19" s="11" t="s">
        <v>45</v>
      </c>
      <c r="G19" s="22" t="s">
        <v>46</v>
      </c>
      <c r="H19" s="22"/>
      <c r="I19" s="22"/>
      <c r="J19" s="22"/>
    </row>
    <row r="20" spans="1:10" ht="13.9">
      <c r="A20" s="6" t="s">
        <v>47</v>
      </c>
      <c r="B20" s="6">
        <v>98</v>
      </c>
      <c r="C20" s="6" t="s">
        <v>48</v>
      </c>
      <c r="D20" s="6">
        <v>97</v>
      </c>
      <c r="F20" s="7" t="s">
        <v>49</v>
      </c>
      <c r="G20" s="22" t="s">
        <v>50</v>
      </c>
      <c r="H20" s="22"/>
      <c r="I20" s="22"/>
      <c r="J20" s="22"/>
    </row>
    <row r="21" spans="1:10" ht="13.9">
      <c r="A21" s="6" t="s">
        <v>48</v>
      </c>
      <c r="B21" s="6">
        <v>97</v>
      </c>
      <c r="C21" s="6" t="s">
        <v>43</v>
      </c>
      <c r="D21" s="6">
        <v>97</v>
      </c>
    </row>
    <row r="22" spans="1:10" ht="13.9">
      <c r="A22" s="6" t="s">
        <v>44</v>
      </c>
      <c r="B22" s="6">
        <v>96</v>
      </c>
      <c r="C22" s="6" t="s">
        <v>51</v>
      </c>
      <c r="D22" s="6">
        <v>97</v>
      </c>
    </row>
    <row r="23" spans="1:10" ht="13.9">
      <c r="A23" s="6" t="s">
        <v>52</v>
      </c>
      <c r="B23" s="6">
        <v>95</v>
      </c>
      <c r="C23" s="6" t="s">
        <v>47</v>
      </c>
      <c r="D23" s="6">
        <v>96</v>
      </c>
    </row>
    <row r="24" spans="1:10" ht="13.9">
      <c r="A24" s="6" t="s">
        <v>53</v>
      </c>
      <c r="B24" s="6">
        <v>95</v>
      </c>
      <c r="C24" s="6" t="s">
        <v>54</v>
      </c>
      <c r="D24" s="6">
        <v>96</v>
      </c>
    </row>
    <row r="25" spans="1:10" ht="13.9">
      <c r="A25" s="6" t="s">
        <v>55</v>
      </c>
      <c r="B25" s="6">
        <v>95</v>
      </c>
      <c r="C25" s="6" t="s">
        <v>52</v>
      </c>
      <c r="D25" s="6">
        <v>95</v>
      </c>
    </row>
    <row r="26" spans="1:10" ht="13.9">
      <c r="A26" s="6" t="s">
        <v>51</v>
      </c>
      <c r="B26" s="6">
        <v>94</v>
      </c>
      <c r="C26" s="6" t="s">
        <v>53</v>
      </c>
      <c r="D26" s="6">
        <v>95</v>
      </c>
    </row>
    <row r="27" spans="1:10" ht="13.9">
      <c r="A27" s="6" t="s">
        <v>56</v>
      </c>
      <c r="B27" s="6">
        <v>94</v>
      </c>
      <c r="C27" s="6" t="s">
        <v>57</v>
      </c>
      <c r="D27" s="6">
        <v>95</v>
      </c>
    </row>
  </sheetData>
  <mergeCells count="16">
    <mergeCell ref="A1:J2"/>
    <mergeCell ref="D4:J4"/>
    <mergeCell ref="E5:J5"/>
    <mergeCell ref="E6:J6"/>
    <mergeCell ref="E7:J7"/>
    <mergeCell ref="E8:J8"/>
    <mergeCell ref="E9:J9"/>
    <mergeCell ref="E10:J10"/>
    <mergeCell ref="E11:J11"/>
    <mergeCell ref="E12:J12"/>
    <mergeCell ref="G20:J20"/>
    <mergeCell ref="F15:J15"/>
    <mergeCell ref="G16:J16"/>
    <mergeCell ref="G17:J17"/>
    <mergeCell ref="G18:J18"/>
    <mergeCell ref="G19:J19"/>
  </mergeCells>
  <phoneticPr fontId="9" type="noConversion"/>
  <conditionalFormatting sqref="B16:B27">
    <cfRule type="colorScale" priority="1">
      <colorScale>
        <cfvo type="min"/>
        <cfvo type="percentile" val="50"/>
        <cfvo type="max"/>
        <color rgb="FFFFF2CC"/>
        <color rgb="FFFFD966"/>
        <color rgb="FF70AD47"/>
      </colorScale>
    </cfRule>
  </conditionalFormatting>
  <conditionalFormatting sqref="D16:D27">
    <cfRule type="colorScale" priority="2">
      <colorScale>
        <cfvo type="min"/>
        <cfvo type="percentile" val="50"/>
        <cfvo type="max"/>
        <color rgb="FFD9EAF7"/>
        <color rgb="FF9DC3E6"/>
        <color rgb="FF5B9BD5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83"/>
  <sheetViews>
    <sheetView showGridLines="0" topLeftCell="BE1" workbookViewId="0">
      <selection activeCell="U55" sqref="U55"/>
    </sheetView>
  </sheetViews>
  <sheetFormatPr defaultRowHeight="13.5"/>
  <cols>
    <col min="1" max="1" width="19" customWidth="1"/>
    <col min="2" max="2" width="10" customWidth="1"/>
    <col min="3" max="3" width="10" hidden="1" customWidth="1"/>
    <col min="4" max="4" width="30" customWidth="1"/>
    <col min="5" max="5" width="30" hidden="1" customWidth="1"/>
    <col min="6" max="8" width="13" customWidth="1"/>
    <col min="9" max="9" width="10" customWidth="1"/>
    <col min="10" max="10" width="30" customWidth="1"/>
    <col min="11" max="11" width="17" hidden="1" customWidth="1"/>
    <col min="12" max="12" width="17" customWidth="1"/>
    <col min="13" max="14" width="17" hidden="1" customWidth="1"/>
    <col min="15" max="17" width="30" customWidth="1"/>
    <col min="18" max="20" width="10" hidden="1" customWidth="1"/>
    <col min="21" max="24" width="30" customWidth="1"/>
    <col min="25" max="26" width="10" customWidth="1"/>
    <col min="27" max="27" width="30" customWidth="1"/>
    <col min="28" max="28" width="13" customWidth="1"/>
    <col min="29" max="29" width="10" customWidth="1"/>
    <col min="30" max="36" width="13" customWidth="1"/>
    <col min="37" max="37" width="10" customWidth="1"/>
    <col min="38" max="48" width="13" customWidth="1"/>
    <col min="49" max="49" width="17" customWidth="1"/>
    <col min="50" max="51" width="13" customWidth="1"/>
    <col min="52" max="55" width="10" hidden="1" customWidth="1"/>
    <col min="56" max="56" width="30" hidden="1" customWidth="1"/>
    <col min="57" max="57" width="30" customWidth="1"/>
    <col min="58" max="58" width="30" hidden="1" customWidth="1"/>
    <col min="59" max="59" width="30" customWidth="1"/>
    <col min="60" max="60" width="30" hidden="1" customWidth="1"/>
    <col min="61" max="63" width="30" customWidth="1"/>
    <col min="64" max="64" width="10" customWidth="1"/>
    <col min="65" max="65" width="10" hidden="1" customWidth="1"/>
    <col min="66" max="67" width="30" customWidth="1"/>
    <col min="68" max="69" width="10" hidden="1" customWidth="1"/>
    <col min="70" max="73" width="30" customWidth="1"/>
    <col min="74" max="74" width="30" hidden="1" customWidth="1"/>
  </cols>
  <sheetData>
    <row r="1" spans="1:74" ht="25.05" customHeight="1">
      <c r="A1" s="30" t="s">
        <v>58</v>
      </c>
      <c r="B1" s="30"/>
      <c r="C1" s="30"/>
      <c r="D1" s="30"/>
      <c r="E1" s="30"/>
      <c r="F1" s="31" t="s">
        <v>59</v>
      </c>
      <c r="G1" s="31"/>
      <c r="H1" s="31"/>
      <c r="I1" s="31"/>
      <c r="J1" s="31"/>
      <c r="K1" s="32" t="s">
        <v>60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 t="s">
        <v>61</v>
      </c>
      <c r="Y1" s="33"/>
      <c r="Z1" s="33"/>
      <c r="AA1" s="33"/>
      <c r="AB1" s="33"/>
      <c r="AC1" s="33"/>
      <c r="AD1" s="34" t="s">
        <v>62</v>
      </c>
      <c r="AE1" s="34"/>
      <c r="AF1" s="34"/>
      <c r="AG1" s="34"/>
      <c r="AH1" s="34"/>
      <c r="AI1" s="34"/>
      <c r="AJ1" s="34"/>
      <c r="AK1" s="34"/>
      <c r="AL1" s="34"/>
      <c r="AM1" s="26" t="s">
        <v>63</v>
      </c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7" t="s">
        <v>64</v>
      </c>
      <c r="BF1" s="27"/>
      <c r="BG1" s="27"/>
      <c r="BH1" s="27"/>
      <c r="BI1" s="28" t="s">
        <v>65</v>
      </c>
      <c r="BJ1" s="28"/>
      <c r="BK1" s="28"/>
      <c r="BL1" s="28"/>
      <c r="BM1" s="28"/>
      <c r="BN1" s="29" t="s">
        <v>66</v>
      </c>
      <c r="BO1" s="29"/>
      <c r="BP1" s="29"/>
      <c r="BQ1" s="29"/>
      <c r="BR1" s="29"/>
      <c r="BS1" s="29"/>
      <c r="BT1" s="29"/>
      <c r="BU1" s="29"/>
      <c r="BV1" s="29"/>
    </row>
    <row r="2" spans="1:74" ht="52.05" customHeight="1">
      <c r="A2" s="12" t="s">
        <v>67</v>
      </c>
      <c r="B2" s="12" t="s">
        <v>68</v>
      </c>
      <c r="C2" s="12" t="s">
        <v>69</v>
      </c>
      <c r="D2" s="12" t="s">
        <v>70</v>
      </c>
      <c r="E2" s="12" t="s">
        <v>71</v>
      </c>
      <c r="F2" s="12" t="s">
        <v>72</v>
      </c>
      <c r="G2" s="12" t="s">
        <v>73</v>
      </c>
      <c r="H2" s="12" t="s">
        <v>74</v>
      </c>
      <c r="I2" s="12" t="s">
        <v>75</v>
      </c>
      <c r="J2" s="12" t="s">
        <v>76</v>
      </c>
      <c r="K2" s="12" t="s">
        <v>77</v>
      </c>
      <c r="L2" s="12" t="s">
        <v>78</v>
      </c>
      <c r="M2" s="12" t="s">
        <v>79</v>
      </c>
      <c r="N2" s="12" t="s">
        <v>80</v>
      </c>
      <c r="O2" s="12" t="s">
        <v>81</v>
      </c>
      <c r="P2" s="12" t="s">
        <v>82</v>
      </c>
      <c r="Q2" s="12" t="s">
        <v>83</v>
      </c>
      <c r="R2" s="12" t="s">
        <v>84</v>
      </c>
      <c r="S2" s="12" t="s">
        <v>85</v>
      </c>
      <c r="T2" s="12" t="s">
        <v>86</v>
      </c>
      <c r="U2" s="12" t="s">
        <v>87</v>
      </c>
      <c r="V2" s="12" t="s">
        <v>88</v>
      </c>
      <c r="W2" s="12" t="s">
        <v>89</v>
      </c>
      <c r="X2" s="12" t="s">
        <v>90</v>
      </c>
      <c r="Y2" s="12" t="s">
        <v>91</v>
      </c>
      <c r="Z2" s="12" t="s">
        <v>92</v>
      </c>
      <c r="AA2" s="12" t="s">
        <v>93</v>
      </c>
      <c r="AB2" s="12" t="s">
        <v>94</v>
      </c>
      <c r="AC2" s="12" t="s">
        <v>95</v>
      </c>
      <c r="AD2" s="12" t="s">
        <v>96</v>
      </c>
      <c r="AE2" s="12" t="s">
        <v>97</v>
      </c>
      <c r="AF2" s="12" t="s">
        <v>98</v>
      </c>
      <c r="AG2" s="12" t="s">
        <v>99</v>
      </c>
      <c r="AH2" s="12" t="s">
        <v>100</v>
      </c>
      <c r="AI2" s="12" t="s">
        <v>101</v>
      </c>
      <c r="AJ2" s="12" t="s">
        <v>102</v>
      </c>
      <c r="AK2" s="12" t="s">
        <v>103</v>
      </c>
      <c r="AL2" s="12" t="s">
        <v>104</v>
      </c>
      <c r="AM2" s="12" t="s">
        <v>105</v>
      </c>
      <c r="AN2" s="12" t="s">
        <v>106</v>
      </c>
      <c r="AO2" s="12" t="s">
        <v>107</v>
      </c>
      <c r="AP2" s="12" t="s">
        <v>108</v>
      </c>
      <c r="AQ2" s="12" t="s">
        <v>109</v>
      </c>
      <c r="AR2" s="12" t="s">
        <v>110</v>
      </c>
      <c r="AS2" s="12" t="s">
        <v>111</v>
      </c>
      <c r="AT2" s="12" t="s">
        <v>112</v>
      </c>
      <c r="AU2" s="12" t="s">
        <v>113</v>
      </c>
      <c r="AV2" s="12" t="s">
        <v>114</v>
      </c>
      <c r="AW2" s="12" t="s">
        <v>115</v>
      </c>
      <c r="AX2" s="12" t="s">
        <v>116</v>
      </c>
      <c r="AY2" s="12" t="s">
        <v>117</v>
      </c>
      <c r="AZ2" s="12" t="s">
        <v>118</v>
      </c>
      <c r="BA2" s="12" t="s">
        <v>119</v>
      </c>
      <c r="BB2" s="12" t="s">
        <v>120</v>
      </c>
      <c r="BC2" s="12" t="s">
        <v>121</v>
      </c>
      <c r="BD2" s="12" t="s">
        <v>122</v>
      </c>
      <c r="BE2" s="12" t="s">
        <v>123</v>
      </c>
      <c r="BF2" s="12" t="s">
        <v>124</v>
      </c>
      <c r="BG2" s="12" t="s">
        <v>125</v>
      </c>
      <c r="BH2" s="12" t="s">
        <v>126</v>
      </c>
      <c r="BI2" s="12" t="s">
        <v>127</v>
      </c>
      <c r="BJ2" s="12" t="s">
        <v>128</v>
      </c>
      <c r="BK2" s="12" t="s">
        <v>129</v>
      </c>
      <c r="BL2" s="12" t="s">
        <v>130</v>
      </c>
      <c r="BM2" s="12" t="s">
        <v>26</v>
      </c>
      <c r="BN2" s="12" t="s">
        <v>131</v>
      </c>
      <c r="BO2" s="12" t="s">
        <v>132</v>
      </c>
      <c r="BP2" s="12" t="s">
        <v>133</v>
      </c>
      <c r="BQ2" s="12" t="s">
        <v>134</v>
      </c>
      <c r="BR2" s="12" t="s">
        <v>135</v>
      </c>
      <c r="BS2" s="12" t="s">
        <v>136</v>
      </c>
      <c r="BT2" s="12" t="s">
        <v>137</v>
      </c>
      <c r="BU2" s="12" t="s">
        <v>138</v>
      </c>
      <c r="BV2" s="12" t="s">
        <v>139</v>
      </c>
    </row>
    <row r="3" spans="1:74" ht="78" customHeight="1">
      <c r="A3" s="35" t="s">
        <v>48</v>
      </c>
      <c r="B3" s="36" t="s">
        <v>140</v>
      </c>
      <c r="C3" s="36" t="s">
        <v>140</v>
      </c>
      <c r="D3" s="36" t="s">
        <v>209</v>
      </c>
      <c r="E3" s="36" t="s">
        <v>172</v>
      </c>
      <c r="F3" s="15">
        <v>97</v>
      </c>
      <c r="G3" s="15">
        <v>97</v>
      </c>
      <c r="H3" s="15">
        <v>97</v>
      </c>
      <c r="I3" s="36" t="s">
        <v>143</v>
      </c>
      <c r="J3" s="36" t="s">
        <v>210</v>
      </c>
      <c r="K3" s="36" t="s">
        <v>145</v>
      </c>
      <c r="L3" s="36" t="s">
        <v>146</v>
      </c>
      <c r="M3" s="36" t="s">
        <v>147</v>
      </c>
      <c r="N3" s="36" t="s">
        <v>148</v>
      </c>
      <c r="O3" s="36" t="s">
        <v>149</v>
      </c>
      <c r="P3" s="36" t="s">
        <v>211</v>
      </c>
      <c r="Q3" s="36" t="s">
        <v>212</v>
      </c>
      <c r="R3" s="36" t="s">
        <v>140</v>
      </c>
      <c r="S3" s="36">
        <v>1</v>
      </c>
      <c r="T3" s="36">
        <v>1</v>
      </c>
      <c r="U3" s="37" t="s">
        <v>2385</v>
      </c>
      <c r="V3" s="36" t="s">
        <v>152</v>
      </c>
      <c r="W3" s="37" t="s">
        <v>1864</v>
      </c>
      <c r="X3" s="36" t="s">
        <v>213</v>
      </c>
      <c r="Y3" s="36" t="s">
        <v>154</v>
      </c>
      <c r="Z3" s="36" t="s">
        <v>154</v>
      </c>
      <c r="AA3" s="36" t="s">
        <v>214</v>
      </c>
      <c r="AB3" s="38">
        <v>1.2727272727272727</v>
      </c>
      <c r="AC3" s="36">
        <v>2026</v>
      </c>
      <c r="AD3" s="39">
        <v>375</v>
      </c>
      <c r="AE3" s="39">
        <v>370</v>
      </c>
      <c r="AF3" s="39">
        <v>370</v>
      </c>
      <c r="AG3" s="39">
        <v>355</v>
      </c>
      <c r="AH3" s="39">
        <v>406</v>
      </c>
      <c r="AI3" s="39">
        <f t="shared" ref="AI3:AI34" si="0">IF(COUNT(AD3:AH3)=0,"",AVERAGE(AD3:AH3))</f>
        <v>375.2</v>
      </c>
      <c r="AJ3" s="39">
        <f t="shared" ref="AJ3:AJ34" si="1">IF(COUNT(AD3:AH3)&lt;2,"",STDEV(AD3:AH3))</f>
        <v>18.780308836651223</v>
      </c>
      <c r="AK3" s="40">
        <f t="shared" ref="AK3:AK34" si="2">COUNT(AD3:AH3)</f>
        <v>5</v>
      </c>
      <c r="AL3" s="36" t="s">
        <v>215</v>
      </c>
      <c r="AM3" s="36"/>
      <c r="AN3" s="36">
        <v>370</v>
      </c>
      <c r="AO3" s="36">
        <v>388</v>
      </c>
      <c r="AP3" s="36">
        <v>359</v>
      </c>
      <c r="AQ3" s="36">
        <v>409</v>
      </c>
      <c r="AR3" s="36"/>
      <c r="AS3" s="36">
        <v>384</v>
      </c>
      <c r="AT3" s="36">
        <v>398</v>
      </c>
      <c r="AU3" s="36">
        <v>383.5</v>
      </c>
      <c r="AV3" s="36">
        <v>424</v>
      </c>
      <c r="AW3" s="37" t="s">
        <v>1969</v>
      </c>
      <c r="AX3" s="36">
        <v>359</v>
      </c>
      <c r="AY3" s="36">
        <v>391</v>
      </c>
      <c r="AZ3" s="39"/>
      <c r="BA3" s="39"/>
      <c r="BB3" s="39"/>
      <c r="BC3" s="39"/>
      <c r="BD3" s="36" t="s">
        <v>157</v>
      </c>
      <c r="BE3" s="36" t="s">
        <v>216</v>
      </c>
      <c r="BF3" s="36" t="s">
        <v>217</v>
      </c>
      <c r="BG3" s="36" t="s">
        <v>218</v>
      </c>
      <c r="BH3" s="36" t="s">
        <v>161</v>
      </c>
      <c r="BI3" s="36" t="s">
        <v>162</v>
      </c>
      <c r="BJ3" s="36" t="s">
        <v>219</v>
      </c>
      <c r="BK3" s="36" t="s">
        <v>164</v>
      </c>
      <c r="BL3" s="36" t="s">
        <v>165</v>
      </c>
      <c r="BM3" s="37" t="s">
        <v>1865</v>
      </c>
      <c r="BN3" s="36" t="s">
        <v>220</v>
      </c>
      <c r="BO3" s="36" t="s">
        <v>167</v>
      </c>
      <c r="BP3" s="40">
        <v>0</v>
      </c>
      <c r="BQ3" s="40">
        <v>0</v>
      </c>
      <c r="BR3" s="36"/>
      <c r="BS3" s="36" t="s">
        <v>168</v>
      </c>
      <c r="BT3" s="36" t="s">
        <v>169</v>
      </c>
      <c r="BU3" s="36" t="s">
        <v>170</v>
      </c>
      <c r="BV3" s="36"/>
    </row>
    <row r="4" spans="1:74" ht="78" customHeight="1">
      <c r="A4" s="41" t="s">
        <v>306</v>
      </c>
      <c r="B4" s="42" t="s">
        <v>140</v>
      </c>
      <c r="C4" s="42" t="s">
        <v>140</v>
      </c>
      <c r="D4" s="42" t="s">
        <v>307</v>
      </c>
      <c r="E4" s="42" t="s">
        <v>172</v>
      </c>
      <c r="F4" s="15">
        <v>92</v>
      </c>
      <c r="G4" s="15">
        <v>91</v>
      </c>
      <c r="H4" s="15">
        <v>92</v>
      </c>
      <c r="I4" s="42" t="s">
        <v>275</v>
      </c>
      <c r="J4" s="42" t="s">
        <v>308</v>
      </c>
      <c r="K4" s="42" t="s">
        <v>145</v>
      </c>
      <c r="L4" s="42" t="s">
        <v>146</v>
      </c>
      <c r="M4" s="42" t="s">
        <v>147</v>
      </c>
      <c r="N4" s="42" t="s">
        <v>148</v>
      </c>
      <c r="O4" s="43" t="s">
        <v>1966</v>
      </c>
      <c r="P4" s="43" t="s">
        <v>1967</v>
      </c>
      <c r="Q4" s="43" t="s">
        <v>1968</v>
      </c>
      <c r="R4" s="42" t="s">
        <v>140</v>
      </c>
      <c r="S4" s="42">
        <v>1</v>
      </c>
      <c r="T4" s="42">
        <v>1</v>
      </c>
      <c r="U4" s="43" t="s">
        <v>2386</v>
      </c>
      <c r="V4" s="42" t="s">
        <v>240</v>
      </c>
      <c r="W4" s="43" t="s">
        <v>1867</v>
      </c>
      <c r="X4" s="43" t="s">
        <v>1899</v>
      </c>
      <c r="Y4" s="42" t="s">
        <v>41</v>
      </c>
      <c r="Z4" s="42" t="s">
        <v>41</v>
      </c>
      <c r="AA4" s="43" t="s">
        <v>1869</v>
      </c>
      <c r="AB4" s="44">
        <v>1.1612903225806452</v>
      </c>
      <c r="AC4" s="42">
        <v>2026</v>
      </c>
      <c r="AD4" s="45">
        <v>378</v>
      </c>
      <c r="AE4" s="45">
        <v>395</v>
      </c>
      <c r="AF4" s="45">
        <v>338</v>
      </c>
      <c r="AG4" s="45">
        <v>323</v>
      </c>
      <c r="AH4" s="45">
        <v>392</v>
      </c>
      <c r="AI4" s="45">
        <f t="shared" si="0"/>
        <v>365.2</v>
      </c>
      <c r="AJ4" s="45">
        <f t="shared" si="1"/>
        <v>32.752099169366232</v>
      </c>
      <c r="AK4" s="46">
        <f t="shared" si="2"/>
        <v>5</v>
      </c>
      <c r="AL4" s="42" t="s">
        <v>197</v>
      </c>
      <c r="AM4" s="42"/>
      <c r="AN4" s="42">
        <v>395</v>
      </c>
      <c r="AO4" s="42">
        <v>353</v>
      </c>
      <c r="AP4" s="42">
        <v>360</v>
      </c>
      <c r="AQ4" s="42">
        <v>392</v>
      </c>
      <c r="AR4" s="42"/>
      <c r="AS4" s="42"/>
      <c r="AT4" s="42">
        <v>382</v>
      </c>
      <c r="AU4" s="42"/>
      <c r="AV4" s="42">
        <v>407</v>
      </c>
      <c r="AW4" s="43" t="s">
        <v>1970</v>
      </c>
      <c r="AX4" s="42">
        <v>353</v>
      </c>
      <c r="AY4" s="42">
        <v>394.5</v>
      </c>
      <c r="AZ4" s="45"/>
      <c r="BA4" s="45"/>
      <c r="BB4" s="45"/>
      <c r="BC4" s="45"/>
      <c r="BD4" s="42" t="s">
        <v>157</v>
      </c>
      <c r="BE4" s="42" t="s">
        <v>198</v>
      </c>
      <c r="BF4" s="42" t="s">
        <v>182</v>
      </c>
      <c r="BG4" s="42" t="s">
        <v>199</v>
      </c>
      <c r="BH4" s="42" t="s">
        <v>161</v>
      </c>
      <c r="BI4" s="42" t="s">
        <v>162</v>
      </c>
      <c r="BJ4" s="42" t="s">
        <v>309</v>
      </c>
      <c r="BK4" s="42" t="s">
        <v>164</v>
      </c>
      <c r="BL4" s="42" t="s">
        <v>165</v>
      </c>
      <c r="BM4" s="43" t="s">
        <v>1865</v>
      </c>
      <c r="BN4" s="42" t="s">
        <v>247</v>
      </c>
      <c r="BO4" s="42" t="s">
        <v>167</v>
      </c>
      <c r="BP4" s="46">
        <v>0</v>
      </c>
      <c r="BQ4" s="46">
        <v>0</v>
      </c>
      <c r="BR4" s="42"/>
      <c r="BS4" s="42" t="s">
        <v>168</v>
      </c>
      <c r="BT4" s="42" t="s">
        <v>169</v>
      </c>
      <c r="BU4" s="42" t="s">
        <v>170</v>
      </c>
      <c r="BV4" s="42"/>
    </row>
    <row r="5" spans="1:74" ht="78" customHeight="1">
      <c r="A5" s="47" t="s">
        <v>38</v>
      </c>
      <c r="B5" s="48" t="s">
        <v>140</v>
      </c>
      <c r="C5" s="48" t="s">
        <v>140</v>
      </c>
      <c r="D5" s="48" t="s">
        <v>193</v>
      </c>
      <c r="E5" s="48" t="s">
        <v>172</v>
      </c>
      <c r="F5" s="15">
        <v>98</v>
      </c>
      <c r="G5" s="15">
        <v>100</v>
      </c>
      <c r="H5" s="15">
        <v>100</v>
      </c>
      <c r="I5" s="48" t="s">
        <v>143</v>
      </c>
      <c r="J5" s="48" t="s">
        <v>194</v>
      </c>
      <c r="K5" s="48" t="s">
        <v>145</v>
      </c>
      <c r="L5" s="48" t="s">
        <v>195</v>
      </c>
      <c r="M5" s="48" t="s">
        <v>147</v>
      </c>
      <c r="N5" s="48" t="s">
        <v>148</v>
      </c>
      <c r="O5" s="48" t="s">
        <v>149</v>
      </c>
      <c r="P5" s="48" t="s">
        <v>150</v>
      </c>
      <c r="Q5" s="48" t="s">
        <v>151</v>
      </c>
      <c r="R5" s="48" t="s">
        <v>140</v>
      </c>
      <c r="S5" s="48">
        <v>1</v>
      </c>
      <c r="T5" s="48">
        <v>0</v>
      </c>
      <c r="U5" s="49" t="s">
        <v>2387</v>
      </c>
      <c r="V5" s="48" t="s">
        <v>196</v>
      </c>
      <c r="W5" s="49" t="s">
        <v>1900</v>
      </c>
      <c r="X5" s="49" t="s">
        <v>1901</v>
      </c>
      <c r="Y5" s="48" t="s">
        <v>41</v>
      </c>
      <c r="Z5" s="48" t="s">
        <v>41</v>
      </c>
      <c r="AA5" s="49" t="s">
        <v>1869</v>
      </c>
      <c r="AB5" s="50">
        <v>1.2307692307692308</v>
      </c>
      <c r="AC5" s="48">
        <v>2026</v>
      </c>
      <c r="AD5" s="51">
        <v>400</v>
      </c>
      <c r="AE5" s="51">
        <v>365</v>
      </c>
      <c r="AF5" s="51">
        <v>380</v>
      </c>
      <c r="AG5" s="51">
        <v>375</v>
      </c>
      <c r="AH5" s="51">
        <v>390</v>
      </c>
      <c r="AI5" s="51">
        <f t="shared" si="0"/>
        <v>382</v>
      </c>
      <c r="AJ5" s="51">
        <f t="shared" si="1"/>
        <v>13.509256086106296</v>
      </c>
      <c r="AK5" s="52">
        <f t="shared" si="2"/>
        <v>5</v>
      </c>
      <c r="AL5" s="48" t="s">
        <v>197</v>
      </c>
      <c r="AM5" s="48"/>
      <c r="AN5" s="48">
        <v>365</v>
      </c>
      <c r="AO5" s="48">
        <v>384</v>
      </c>
      <c r="AP5" s="48">
        <v>375</v>
      </c>
      <c r="AQ5" s="48">
        <v>390</v>
      </c>
      <c r="AR5" s="48">
        <v>414.5</v>
      </c>
      <c r="AS5" s="48"/>
      <c r="AT5" s="48">
        <v>406.5</v>
      </c>
      <c r="AU5" s="48">
        <v>399</v>
      </c>
      <c r="AV5" s="48">
        <v>416</v>
      </c>
      <c r="AW5" s="49" t="s">
        <v>1971</v>
      </c>
      <c r="AX5" s="48">
        <v>365</v>
      </c>
      <c r="AY5" s="48">
        <v>410.5</v>
      </c>
      <c r="AZ5" s="51"/>
      <c r="BA5" s="51"/>
      <c r="BB5" s="51"/>
      <c r="BC5" s="51"/>
      <c r="BD5" s="48" t="s">
        <v>157</v>
      </c>
      <c r="BE5" s="48" t="s">
        <v>198</v>
      </c>
      <c r="BF5" s="48" t="s">
        <v>182</v>
      </c>
      <c r="BG5" s="48" t="s">
        <v>199</v>
      </c>
      <c r="BH5" s="48" t="s">
        <v>161</v>
      </c>
      <c r="BI5" s="48" t="s">
        <v>162</v>
      </c>
      <c r="BJ5" s="48" t="s">
        <v>200</v>
      </c>
      <c r="BK5" s="48" t="s">
        <v>201</v>
      </c>
      <c r="BL5" s="48" t="s">
        <v>165</v>
      </c>
      <c r="BM5" s="49" t="s">
        <v>1865</v>
      </c>
      <c r="BN5" s="48" t="s">
        <v>202</v>
      </c>
      <c r="BO5" s="48" t="s">
        <v>203</v>
      </c>
      <c r="BP5" s="52">
        <v>1</v>
      </c>
      <c r="BQ5" s="52">
        <v>0</v>
      </c>
      <c r="BR5" s="48" t="s">
        <v>204</v>
      </c>
      <c r="BS5" s="48" t="s">
        <v>205</v>
      </c>
      <c r="BT5" s="48" t="s">
        <v>206</v>
      </c>
      <c r="BU5" s="48" t="s">
        <v>207</v>
      </c>
      <c r="BV5" s="48" t="s">
        <v>208</v>
      </c>
    </row>
    <row r="6" spans="1:74" ht="78" customHeight="1">
      <c r="A6" s="47" t="s">
        <v>44</v>
      </c>
      <c r="B6" s="48" t="s">
        <v>140</v>
      </c>
      <c r="C6" s="48" t="s">
        <v>140</v>
      </c>
      <c r="D6" s="48" t="s">
        <v>221</v>
      </c>
      <c r="E6" s="48" t="s">
        <v>172</v>
      </c>
      <c r="F6" s="15">
        <v>97</v>
      </c>
      <c r="G6" s="15">
        <v>96</v>
      </c>
      <c r="H6" s="15">
        <v>99</v>
      </c>
      <c r="I6" s="48" t="s">
        <v>143</v>
      </c>
      <c r="J6" s="48" t="s">
        <v>222</v>
      </c>
      <c r="K6" s="48" t="s">
        <v>145</v>
      </c>
      <c r="L6" s="48" t="s">
        <v>195</v>
      </c>
      <c r="M6" s="48" t="s">
        <v>147</v>
      </c>
      <c r="N6" s="48" t="s">
        <v>148</v>
      </c>
      <c r="O6" s="48" t="s">
        <v>223</v>
      </c>
      <c r="P6" s="48" t="s">
        <v>224</v>
      </c>
      <c r="Q6" s="48" t="s">
        <v>225</v>
      </c>
      <c r="R6" s="48" t="s">
        <v>140</v>
      </c>
      <c r="S6" s="48">
        <v>1</v>
      </c>
      <c r="T6" s="48">
        <v>1</v>
      </c>
      <c r="U6" s="49" t="s">
        <v>2388</v>
      </c>
      <c r="V6" s="48" t="s">
        <v>152</v>
      </c>
      <c r="W6" s="49" t="s">
        <v>1906</v>
      </c>
      <c r="X6" s="48" t="s">
        <v>226</v>
      </c>
      <c r="Y6" s="48" t="s">
        <v>154</v>
      </c>
      <c r="Z6" s="48" t="s">
        <v>154</v>
      </c>
      <c r="AA6" s="48" t="s">
        <v>155</v>
      </c>
      <c r="AB6" s="50">
        <v>1.4166666666666667</v>
      </c>
      <c r="AC6" s="48">
        <v>2026</v>
      </c>
      <c r="AD6" s="51">
        <v>390</v>
      </c>
      <c r="AE6" s="51">
        <v>380</v>
      </c>
      <c r="AF6" s="51">
        <v>380</v>
      </c>
      <c r="AG6" s="51">
        <v>333</v>
      </c>
      <c r="AH6" s="51">
        <v>390</v>
      </c>
      <c r="AI6" s="51">
        <f t="shared" si="0"/>
        <v>374.6</v>
      </c>
      <c r="AJ6" s="51">
        <f t="shared" si="1"/>
        <v>23.786550821840482</v>
      </c>
      <c r="AK6" s="52">
        <f t="shared" si="2"/>
        <v>5</v>
      </c>
      <c r="AL6" s="48" t="s">
        <v>227</v>
      </c>
      <c r="AM6" s="48">
        <v>394</v>
      </c>
      <c r="AN6" s="48"/>
      <c r="AO6" s="48">
        <v>380</v>
      </c>
      <c r="AP6" s="48">
        <v>343</v>
      </c>
      <c r="AQ6" s="48">
        <v>392</v>
      </c>
      <c r="AR6" s="48"/>
      <c r="AS6" s="48">
        <v>394.5</v>
      </c>
      <c r="AT6" s="48">
        <v>404</v>
      </c>
      <c r="AU6" s="48">
        <v>377.5</v>
      </c>
      <c r="AV6" s="48">
        <v>403.5</v>
      </c>
      <c r="AW6" s="49" t="s">
        <v>1971</v>
      </c>
      <c r="AX6" s="48">
        <v>343</v>
      </c>
      <c r="AY6" s="48">
        <v>399</v>
      </c>
      <c r="AZ6" s="51"/>
      <c r="BA6" s="51"/>
      <c r="BB6" s="51"/>
      <c r="BC6" s="51"/>
      <c r="BD6" s="48" t="s">
        <v>157</v>
      </c>
      <c r="BE6" s="48" t="s">
        <v>228</v>
      </c>
      <c r="BF6" s="48" t="s">
        <v>229</v>
      </c>
      <c r="BG6" s="48" t="s">
        <v>230</v>
      </c>
      <c r="BH6" s="48" t="s">
        <v>161</v>
      </c>
      <c r="BI6" s="48" t="s">
        <v>231</v>
      </c>
      <c r="BJ6" s="48" t="s">
        <v>232</v>
      </c>
      <c r="BK6" s="48" t="s">
        <v>164</v>
      </c>
      <c r="BL6" s="48" t="s">
        <v>165</v>
      </c>
      <c r="BM6" s="49" t="s">
        <v>1865</v>
      </c>
      <c r="BN6" s="48" t="s">
        <v>233</v>
      </c>
      <c r="BO6" s="48" t="s">
        <v>167</v>
      </c>
      <c r="BP6" s="52">
        <v>0</v>
      </c>
      <c r="BQ6" s="52">
        <v>0</v>
      </c>
      <c r="BR6" s="48"/>
      <c r="BS6" s="48" t="s">
        <v>168</v>
      </c>
      <c r="BT6" s="48" t="s">
        <v>234</v>
      </c>
      <c r="BU6" s="48" t="s">
        <v>235</v>
      </c>
      <c r="BV6" s="48" t="s">
        <v>236</v>
      </c>
    </row>
    <row r="7" spans="1:74" ht="78" customHeight="1">
      <c r="A7" s="41" t="s">
        <v>364</v>
      </c>
      <c r="B7" s="42" t="s">
        <v>140</v>
      </c>
      <c r="C7" s="42" t="s">
        <v>140</v>
      </c>
      <c r="D7" s="42" t="s">
        <v>365</v>
      </c>
      <c r="E7" s="42" t="s">
        <v>172</v>
      </c>
      <c r="F7" s="15">
        <v>90</v>
      </c>
      <c r="G7" s="15">
        <v>90</v>
      </c>
      <c r="H7" s="15">
        <v>90</v>
      </c>
      <c r="I7" s="42" t="s">
        <v>275</v>
      </c>
      <c r="J7" s="42" t="s">
        <v>366</v>
      </c>
      <c r="K7" s="42" t="s">
        <v>145</v>
      </c>
      <c r="L7" s="42" t="s">
        <v>146</v>
      </c>
      <c r="M7" s="42" t="s">
        <v>147</v>
      </c>
      <c r="N7" s="42" t="s">
        <v>148</v>
      </c>
      <c r="O7" s="42" t="s">
        <v>149</v>
      </c>
      <c r="P7" s="42" t="s">
        <v>150</v>
      </c>
      <c r="Q7" s="42" t="s">
        <v>151</v>
      </c>
      <c r="R7" s="42" t="s">
        <v>140</v>
      </c>
      <c r="S7" s="42">
        <v>1</v>
      </c>
      <c r="T7" s="42">
        <v>1</v>
      </c>
      <c r="U7" s="43" t="s">
        <v>2389</v>
      </c>
      <c r="V7" s="42" t="s">
        <v>240</v>
      </c>
      <c r="W7" s="43" t="s">
        <v>1896</v>
      </c>
      <c r="X7" s="43" t="s">
        <v>1897</v>
      </c>
      <c r="Y7" s="42" t="s">
        <v>41</v>
      </c>
      <c r="Z7" s="42" t="s">
        <v>41</v>
      </c>
      <c r="AA7" s="43" t="s">
        <v>1869</v>
      </c>
      <c r="AB7" s="44">
        <v>0.40909090909090912</v>
      </c>
      <c r="AC7" s="42">
        <v>2026</v>
      </c>
      <c r="AD7" s="45"/>
      <c r="AE7" s="45">
        <v>355</v>
      </c>
      <c r="AF7" s="45">
        <v>370</v>
      </c>
      <c r="AG7" s="45">
        <v>365</v>
      </c>
      <c r="AH7" s="45">
        <v>385</v>
      </c>
      <c r="AI7" s="45">
        <f t="shared" si="0"/>
        <v>368.75</v>
      </c>
      <c r="AJ7" s="45">
        <f t="shared" si="1"/>
        <v>12.5</v>
      </c>
      <c r="AK7" s="46">
        <f t="shared" si="2"/>
        <v>4</v>
      </c>
      <c r="AL7" s="42" t="s">
        <v>261</v>
      </c>
      <c r="AM7" s="42"/>
      <c r="AN7" s="42">
        <v>358</v>
      </c>
      <c r="AO7" s="42">
        <v>371</v>
      </c>
      <c r="AP7" s="42">
        <v>366</v>
      </c>
      <c r="AQ7" s="42">
        <v>385</v>
      </c>
      <c r="AR7" s="42"/>
      <c r="AS7" s="42"/>
      <c r="AT7" s="42">
        <v>397</v>
      </c>
      <c r="AU7" s="42"/>
      <c r="AV7" s="42">
        <v>409.5</v>
      </c>
      <c r="AW7" s="43" t="s">
        <v>1970</v>
      </c>
      <c r="AX7" s="42">
        <v>358</v>
      </c>
      <c r="AY7" s="42">
        <v>403.25</v>
      </c>
      <c r="AZ7" s="45"/>
      <c r="BA7" s="45"/>
      <c r="BB7" s="45"/>
      <c r="BC7" s="45"/>
      <c r="BD7" s="42" t="s">
        <v>157</v>
      </c>
      <c r="BE7" s="42" t="s">
        <v>367</v>
      </c>
      <c r="BF7" s="42" t="s">
        <v>302</v>
      </c>
      <c r="BG7" s="42" t="s">
        <v>368</v>
      </c>
      <c r="BH7" s="42" t="s">
        <v>161</v>
      </c>
      <c r="BI7" s="42" t="s">
        <v>162</v>
      </c>
      <c r="BJ7" s="42" t="s">
        <v>304</v>
      </c>
      <c r="BK7" s="42" t="s">
        <v>164</v>
      </c>
      <c r="BL7" s="42" t="s">
        <v>165</v>
      </c>
      <c r="BM7" s="43" t="s">
        <v>1865</v>
      </c>
      <c r="BN7" s="42" t="s">
        <v>369</v>
      </c>
      <c r="BO7" s="42" t="s">
        <v>167</v>
      </c>
      <c r="BP7" s="46">
        <v>0</v>
      </c>
      <c r="BQ7" s="46">
        <v>0</v>
      </c>
      <c r="BR7" s="42"/>
      <c r="BS7" s="42" t="s">
        <v>168</v>
      </c>
      <c r="BT7" s="42" t="s">
        <v>169</v>
      </c>
      <c r="BU7" s="42" t="s">
        <v>170</v>
      </c>
      <c r="BV7" s="42"/>
    </row>
    <row r="8" spans="1:74" ht="78" customHeight="1">
      <c r="A8" s="41" t="s">
        <v>37</v>
      </c>
      <c r="B8" s="42" t="s">
        <v>140</v>
      </c>
      <c r="C8" s="42" t="s">
        <v>140</v>
      </c>
      <c r="D8" s="42" t="s">
        <v>171</v>
      </c>
      <c r="E8" s="42" t="s">
        <v>172</v>
      </c>
      <c r="F8" s="15">
        <v>98</v>
      </c>
      <c r="G8" s="15">
        <v>100</v>
      </c>
      <c r="H8" s="15">
        <v>99</v>
      </c>
      <c r="I8" s="42" t="s">
        <v>143</v>
      </c>
      <c r="J8" s="42" t="s">
        <v>173</v>
      </c>
      <c r="K8" s="42" t="s">
        <v>145</v>
      </c>
      <c r="L8" s="42" t="s">
        <v>146</v>
      </c>
      <c r="M8" s="42" t="s">
        <v>147</v>
      </c>
      <c r="N8" s="42" t="s">
        <v>148</v>
      </c>
      <c r="O8" s="42" t="s">
        <v>174</v>
      </c>
      <c r="P8" s="42" t="s">
        <v>175</v>
      </c>
      <c r="Q8" s="42" t="s">
        <v>176</v>
      </c>
      <c r="R8" s="42" t="s">
        <v>140</v>
      </c>
      <c r="S8" s="42">
        <v>1</v>
      </c>
      <c r="T8" s="42">
        <v>1</v>
      </c>
      <c r="U8" s="43" t="s">
        <v>2390</v>
      </c>
      <c r="V8" s="42" t="s">
        <v>152</v>
      </c>
      <c r="W8" s="43" t="s">
        <v>1870</v>
      </c>
      <c r="X8" s="42" t="s">
        <v>177</v>
      </c>
      <c r="Y8" s="42" t="s">
        <v>178</v>
      </c>
      <c r="Z8" s="42" t="s">
        <v>154</v>
      </c>
      <c r="AA8" s="42" t="s">
        <v>179</v>
      </c>
      <c r="AB8" s="44">
        <v>1.0675675675675675</v>
      </c>
      <c r="AC8" s="42">
        <v>2026</v>
      </c>
      <c r="AD8" s="45">
        <v>410</v>
      </c>
      <c r="AE8" s="45">
        <v>395</v>
      </c>
      <c r="AF8" s="45">
        <v>395</v>
      </c>
      <c r="AG8" s="45">
        <v>345</v>
      </c>
      <c r="AH8" s="45">
        <v>380</v>
      </c>
      <c r="AI8" s="45">
        <f t="shared" si="0"/>
        <v>385</v>
      </c>
      <c r="AJ8" s="45">
        <f t="shared" si="1"/>
        <v>24.748737341529164</v>
      </c>
      <c r="AK8" s="46">
        <f t="shared" si="2"/>
        <v>5</v>
      </c>
      <c r="AL8" s="42" t="s">
        <v>180</v>
      </c>
      <c r="AM8" s="42"/>
      <c r="AN8" s="42">
        <v>395</v>
      </c>
      <c r="AO8" s="42">
        <v>396</v>
      </c>
      <c r="AP8" s="42">
        <v>345</v>
      </c>
      <c r="AQ8" s="42">
        <v>380</v>
      </c>
      <c r="AR8" s="42"/>
      <c r="AS8" s="42"/>
      <c r="AT8" s="42"/>
      <c r="AU8" s="42"/>
      <c r="AV8" s="42">
        <v>412</v>
      </c>
      <c r="AW8" s="43" t="s">
        <v>1972</v>
      </c>
      <c r="AX8" s="42">
        <v>345</v>
      </c>
      <c r="AY8" s="42">
        <v>412</v>
      </c>
      <c r="AZ8" s="45"/>
      <c r="BA8" s="45"/>
      <c r="BB8" s="45"/>
      <c r="BC8" s="45"/>
      <c r="BD8" s="42" t="s">
        <v>157</v>
      </c>
      <c r="BE8" s="42" t="s">
        <v>181</v>
      </c>
      <c r="BF8" s="42" t="s">
        <v>182</v>
      </c>
      <c r="BG8" s="42" t="s">
        <v>183</v>
      </c>
      <c r="BH8" s="42" t="s">
        <v>184</v>
      </c>
      <c r="BI8" s="42" t="s">
        <v>162</v>
      </c>
      <c r="BJ8" s="42" t="s">
        <v>185</v>
      </c>
      <c r="BK8" s="42" t="s">
        <v>164</v>
      </c>
      <c r="BL8" s="42" t="s">
        <v>165</v>
      </c>
      <c r="BM8" s="43" t="s">
        <v>1865</v>
      </c>
      <c r="BN8" s="42" t="s">
        <v>186</v>
      </c>
      <c r="BO8" s="42" t="s">
        <v>187</v>
      </c>
      <c r="BP8" s="46">
        <v>1</v>
      </c>
      <c r="BQ8" s="46">
        <v>0</v>
      </c>
      <c r="BR8" s="42" t="s">
        <v>188</v>
      </c>
      <c r="BS8" s="42" t="s">
        <v>189</v>
      </c>
      <c r="BT8" s="42" t="s">
        <v>190</v>
      </c>
      <c r="BU8" s="42" t="s">
        <v>191</v>
      </c>
      <c r="BV8" s="42" t="s">
        <v>192</v>
      </c>
    </row>
    <row r="9" spans="1:74" ht="78" customHeight="1">
      <c r="A9" s="41" t="s">
        <v>326</v>
      </c>
      <c r="B9" s="42" t="s">
        <v>140</v>
      </c>
      <c r="C9" s="42" t="s">
        <v>140</v>
      </c>
      <c r="D9" s="42" t="s">
        <v>298</v>
      </c>
      <c r="E9" s="42" t="s">
        <v>172</v>
      </c>
      <c r="F9" s="15">
        <v>91</v>
      </c>
      <c r="G9" s="15">
        <v>90</v>
      </c>
      <c r="H9" s="15">
        <v>93</v>
      </c>
      <c r="I9" s="42" t="s">
        <v>275</v>
      </c>
      <c r="J9" s="42" t="s">
        <v>327</v>
      </c>
      <c r="K9" s="42" t="s">
        <v>145</v>
      </c>
      <c r="L9" s="42" t="s">
        <v>195</v>
      </c>
      <c r="M9" s="42" t="s">
        <v>147</v>
      </c>
      <c r="N9" s="42" t="s">
        <v>148</v>
      </c>
      <c r="O9" s="42" t="s">
        <v>149</v>
      </c>
      <c r="P9" s="42" t="s">
        <v>150</v>
      </c>
      <c r="Q9" s="42" t="s">
        <v>151</v>
      </c>
      <c r="R9" s="42" t="s">
        <v>140</v>
      </c>
      <c r="S9" s="42">
        <v>1</v>
      </c>
      <c r="T9" s="42">
        <v>1</v>
      </c>
      <c r="U9" s="43" t="s">
        <v>2391</v>
      </c>
      <c r="V9" s="42" t="s">
        <v>240</v>
      </c>
      <c r="W9" s="43" t="s">
        <v>1884</v>
      </c>
      <c r="X9" s="43" t="s">
        <v>1885</v>
      </c>
      <c r="Y9" s="42" t="s">
        <v>41</v>
      </c>
      <c r="Z9" s="42" t="s">
        <v>41</v>
      </c>
      <c r="AA9" s="43" t="s">
        <v>1869</v>
      </c>
      <c r="AB9" s="44">
        <v>1.1578947368421053</v>
      </c>
      <c r="AC9" s="42">
        <v>2026</v>
      </c>
      <c r="AD9" s="45">
        <v>385</v>
      </c>
      <c r="AE9" s="45">
        <v>375</v>
      </c>
      <c r="AF9" s="45">
        <v>365</v>
      </c>
      <c r="AG9" s="45">
        <v>335</v>
      </c>
      <c r="AH9" s="45">
        <v>380</v>
      </c>
      <c r="AI9" s="45">
        <f t="shared" si="0"/>
        <v>368</v>
      </c>
      <c r="AJ9" s="45">
        <f t="shared" si="1"/>
        <v>19.874606914351791</v>
      </c>
      <c r="AK9" s="46">
        <f t="shared" si="2"/>
        <v>5</v>
      </c>
      <c r="AL9" s="42" t="s">
        <v>261</v>
      </c>
      <c r="AM9" s="42"/>
      <c r="AN9" s="42">
        <v>386</v>
      </c>
      <c r="AO9" s="42">
        <v>387</v>
      </c>
      <c r="AP9" s="42">
        <v>352</v>
      </c>
      <c r="AQ9" s="42">
        <v>397</v>
      </c>
      <c r="AR9" s="42">
        <v>415</v>
      </c>
      <c r="AS9" s="42">
        <v>400</v>
      </c>
      <c r="AT9" s="42">
        <v>412</v>
      </c>
      <c r="AU9" s="42"/>
      <c r="AV9" s="42">
        <v>413</v>
      </c>
      <c r="AW9" s="43" t="s">
        <v>1973</v>
      </c>
      <c r="AX9" s="42">
        <v>352</v>
      </c>
      <c r="AY9" s="42">
        <v>412.5</v>
      </c>
      <c r="AZ9" s="45"/>
      <c r="BA9" s="45"/>
      <c r="BB9" s="45"/>
      <c r="BC9" s="45"/>
      <c r="BD9" s="42" t="s">
        <v>157</v>
      </c>
      <c r="BE9" s="42" t="s">
        <v>328</v>
      </c>
      <c r="BF9" s="42" t="s">
        <v>217</v>
      </c>
      <c r="BG9" s="42" t="s">
        <v>329</v>
      </c>
      <c r="BH9" s="42" t="s">
        <v>161</v>
      </c>
      <c r="BI9" s="42" t="s">
        <v>231</v>
      </c>
      <c r="BJ9" s="42" t="s">
        <v>219</v>
      </c>
      <c r="BK9" s="42" t="s">
        <v>164</v>
      </c>
      <c r="BL9" s="42" t="s">
        <v>165</v>
      </c>
      <c r="BM9" s="43" t="s">
        <v>1865</v>
      </c>
      <c r="BN9" s="42" t="s">
        <v>330</v>
      </c>
      <c r="BO9" s="42" t="s">
        <v>167</v>
      </c>
      <c r="BP9" s="46">
        <v>0</v>
      </c>
      <c r="BQ9" s="46">
        <v>0</v>
      </c>
      <c r="BR9" s="42"/>
      <c r="BS9" s="42" t="s">
        <v>168</v>
      </c>
      <c r="BT9" s="42" t="s">
        <v>169</v>
      </c>
      <c r="BU9" s="42" t="s">
        <v>170</v>
      </c>
      <c r="BV9" s="42"/>
    </row>
    <row r="10" spans="1:74" ht="78" customHeight="1">
      <c r="A10" s="35" t="s">
        <v>34</v>
      </c>
      <c r="B10" s="36" t="s">
        <v>140</v>
      </c>
      <c r="C10" s="36" t="s">
        <v>140</v>
      </c>
      <c r="D10" s="36" t="s">
        <v>141</v>
      </c>
      <c r="E10" s="36" t="s">
        <v>142</v>
      </c>
      <c r="F10" s="15">
        <v>100</v>
      </c>
      <c r="G10" s="15">
        <v>100</v>
      </c>
      <c r="H10" s="15">
        <v>100</v>
      </c>
      <c r="I10" s="36" t="s">
        <v>143</v>
      </c>
      <c r="J10" s="36" t="s">
        <v>144</v>
      </c>
      <c r="K10" s="36" t="s">
        <v>145</v>
      </c>
      <c r="L10" s="36" t="s">
        <v>146</v>
      </c>
      <c r="M10" s="36" t="s">
        <v>147</v>
      </c>
      <c r="N10" s="36" t="s">
        <v>148</v>
      </c>
      <c r="O10" s="36" t="s">
        <v>149</v>
      </c>
      <c r="P10" s="36" t="s">
        <v>150</v>
      </c>
      <c r="Q10" s="36" t="s">
        <v>151</v>
      </c>
      <c r="R10" s="36" t="s">
        <v>140</v>
      </c>
      <c r="S10" s="36">
        <v>1</v>
      </c>
      <c r="T10" s="36">
        <v>1</v>
      </c>
      <c r="U10" s="37" t="s">
        <v>2392</v>
      </c>
      <c r="V10" s="36" t="s">
        <v>152</v>
      </c>
      <c r="W10" s="37" t="s">
        <v>1864</v>
      </c>
      <c r="X10" s="36" t="s">
        <v>153</v>
      </c>
      <c r="Y10" s="36" t="s">
        <v>154</v>
      </c>
      <c r="Z10" s="36" t="s">
        <v>154</v>
      </c>
      <c r="AA10" s="36" t="s">
        <v>155</v>
      </c>
      <c r="AB10" s="38">
        <v>1.75</v>
      </c>
      <c r="AC10" s="36">
        <v>2026</v>
      </c>
      <c r="AD10" s="39">
        <v>420</v>
      </c>
      <c r="AE10" s="39">
        <v>405</v>
      </c>
      <c r="AF10" s="39">
        <v>420</v>
      </c>
      <c r="AG10" s="39">
        <v>380</v>
      </c>
      <c r="AH10" s="39">
        <v>375</v>
      </c>
      <c r="AI10" s="39">
        <f t="shared" si="0"/>
        <v>400</v>
      </c>
      <c r="AJ10" s="39">
        <f t="shared" si="1"/>
        <v>21.505813167606568</v>
      </c>
      <c r="AK10" s="40">
        <f t="shared" si="2"/>
        <v>5</v>
      </c>
      <c r="AL10" s="36" t="s">
        <v>156</v>
      </c>
      <c r="AM10" s="36">
        <v>433</v>
      </c>
      <c r="AN10" s="36">
        <v>406</v>
      </c>
      <c r="AO10" s="36">
        <v>421</v>
      </c>
      <c r="AP10" s="36">
        <v>381</v>
      </c>
      <c r="AQ10" s="36">
        <v>400</v>
      </c>
      <c r="AR10" s="36">
        <v>439</v>
      </c>
      <c r="AS10" s="36">
        <v>421</v>
      </c>
      <c r="AT10" s="36">
        <v>425</v>
      </c>
      <c r="AU10" s="36">
        <v>401</v>
      </c>
      <c r="AV10" s="36">
        <v>423.5</v>
      </c>
      <c r="AW10" s="37" t="s">
        <v>1974</v>
      </c>
      <c r="AX10" s="36">
        <v>381</v>
      </c>
      <c r="AY10" s="36">
        <v>423.5</v>
      </c>
      <c r="AZ10" s="39"/>
      <c r="BA10" s="39"/>
      <c r="BB10" s="39"/>
      <c r="BC10" s="39"/>
      <c r="BD10" s="36" t="s">
        <v>157</v>
      </c>
      <c r="BE10" s="36" t="s">
        <v>158</v>
      </c>
      <c r="BF10" s="36" t="s">
        <v>159</v>
      </c>
      <c r="BG10" s="36" t="s">
        <v>160</v>
      </c>
      <c r="BH10" s="36" t="s">
        <v>161</v>
      </c>
      <c r="BI10" s="36" t="s">
        <v>162</v>
      </c>
      <c r="BJ10" s="36" t="s">
        <v>163</v>
      </c>
      <c r="BK10" s="36" t="s">
        <v>164</v>
      </c>
      <c r="BL10" s="36" t="s">
        <v>165</v>
      </c>
      <c r="BM10" s="37" t="s">
        <v>1865</v>
      </c>
      <c r="BN10" s="36" t="s">
        <v>166</v>
      </c>
      <c r="BO10" s="36" t="s">
        <v>167</v>
      </c>
      <c r="BP10" s="40">
        <v>0</v>
      </c>
      <c r="BQ10" s="40">
        <v>0</v>
      </c>
      <c r="BR10" s="36"/>
      <c r="BS10" s="36" t="s">
        <v>168</v>
      </c>
      <c r="BT10" s="36" t="s">
        <v>169</v>
      </c>
      <c r="BU10" s="36" t="s">
        <v>170</v>
      </c>
      <c r="BV10" s="36"/>
    </row>
    <row r="11" spans="1:74" ht="78" customHeight="1">
      <c r="A11" s="41" t="s">
        <v>54</v>
      </c>
      <c r="B11" s="42" t="s">
        <v>140</v>
      </c>
      <c r="C11" s="42" t="s">
        <v>140</v>
      </c>
      <c r="D11" s="42" t="s">
        <v>259</v>
      </c>
      <c r="E11" s="42" t="s">
        <v>172</v>
      </c>
      <c r="F11" s="15">
        <v>94</v>
      </c>
      <c r="G11" s="15">
        <v>93</v>
      </c>
      <c r="H11" s="15">
        <v>96</v>
      </c>
      <c r="I11" s="42" t="s">
        <v>275</v>
      </c>
      <c r="J11" s="42" t="s">
        <v>276</v>
      </c>
      <c r="K11" s="42" t="s">
        <v>145</v>
      </c>
      <c r="L11" s="42" t="s">
        <v>146</v>
      </c>
      <c r="M11" s="42" t="s">
        <v>147</v>
      </c>
      <c r="N11" s="42" t="s">
        <v>148</v>
      </c>
      <c r="O11" s="42" t="s">
        <v>149</v>
      </c>
      <c r="P11" s="42" t="s">
        <v>150</v>
      </c>
      <c r="Q11" s="42" t="s">
        <v>151</v>
      </c>
      <c r="R11" s="42" t="s">
        <v>140</v>
      </c>
      <c r="S11" s="42">
        <v>1</v>
      </c>
      <c r="T11" s="42">
        <v>1</v>
      </c>
      <c r="U11" s="43" t="s">
        <v>2393</v>
      </c>
      <c r="V11" s="42" t="s">
        <v>240</v>
      </c>
      <c r="W11" s="43" t="s">
        <v>1867</v>
      </c>
      <c r="X11" s="42" t="s">
        <v>277</v>
      </c>
      <c r="Y11" s="42" t="s">
        <v>154</v>
      </c>
      <c r="Z11" s="42" t="s">
        <v>154</v>
      </c>
      <c r="AA11" s="42" t="s">
        <v>253</v>
      </c>
      <c r="AB11" s="44">
        <v>1.1724137931034482</v>
      </c>
      <c r="AC11" s="42">
        <v>2026</v>
      </c>
      <c r="AD11" s="45">
        <v>375</v>
      </c>
      <c r="AE11" s="45">
        <v>375</v>
      </c>
      <c r="AF11" s="45">
        <v>365</v>
      </c>
      <c r="AG11" s="45">
        <v>365</v>
      </c>
      <c r="AH11" s="45">
        <v>375</v>
      </c>
      <c r="AI11" s="45">
        <f t="shared" si="0"/>
        <v>371</v>
      </c>
      <c r="AJ11" s="45">
        <f t="shared" si="1"/>
        <v>5.4772255750516612</v>
      </c>
      <c r="AK11" s="46">
        <f t="shared" si="2"/>
        <v>5</v>
      </c>
      <c r="AL11" s="42" t="s">
        <v>261</v>
      </c>
      <c r="AM11" s="42"/>
      <c r="AN11" s="42">
        <v>377</v>
      </c>
      <c r="AO11" s="42">
        <v>370</v>
      </c>
      <c r="AP11" s="42">
        <v>366</v>
      </c>
      <c r="AQ11" s="42">
        <v>376</v>
      </c>
      <c r="AR11" s="42"/>
      <c r="AS11" s="42"/>
      <c r="AT11" s="42">
        <v>389</v>
      </c>
      <c r="AU11" s="42">
        <v>383</v>
      </c>
      <c r="AV11" s="42">
        <v>392</v>
      </c>
      <c r="AW11" s="43" t="s">
        <v>1971</v>
      </c>
      <c r="AX11" s="42">
        <v>366</v>
      </c>
      <c r="AY11" s="42">
        <v>389</v>
      </c>
      <c r="AZ11" s="45"/>
      <c r="BA11" s="45"/>
      <c r="BB11" s="45"/>
      <c r="BC11" s="45"/>
      <c r="BD11" s="42" t="s">
        <v>157</v>
      </c>
      <c r="BE11" s="42" t="s">
        <v>278</v>
      </c>
      <c r="BF11" s="42" t="s">
        <v>263</v>
      </c>
      <c r="BG11" s="42" t="s">
        <v>279</v>
      </c>
      <c r="BH11" s="42" t="s">
        <v>161</v>
      </c>
      <c r="BI11" s="42" t="s">
        <v>162</v>
      </c>
      <c r="BJ11" s="42" t="s">
        <v>280</v>
      </c>
      <c r="BK11" s="42" t="s">
        <v>281</v>
      </c>
      <c r="BL11" s="42" t="s">
        <v>165</v>
      </c>
      <c r="BM11" s="43" t="s">
        <v>1865</v>
      </c>
      <c r="BN11" s="42" t="s">
        <v>282</v>
      </c>
      <c r="BO11" s="42" t="s">
        <v>167</v>
      </c>
      <c r="BP11" s="46">
        <v>0</v>
      </c>
      <c r="BQ11" s="46">
        <v>0</v>
      </c>
      <c r="BR11" s="42"/>
      <c r="BS11" s="42" t="s">
        <v>168</v>
      </c>
      <c r="BT11" s="42" t="s">
        <v>169</v>
      </c>
      <c r="BU11" s="42" t="s">
        <v>170</v>
      </c>
      <c r="BV11" s="42"/>
    </row>
    <row r="12" spans="1:74" ht="78" customHeight="1">
      <c r="A12" s="47" t="s">
        <v>392</v>
      </c>
      <c r="B12" s="48" t="s">
        <v>140</v>
      </c>
      <c r="C12" s="48" t="s">
        <v>140</v>
      </c>
      <c r="D12" s="48" t="s">
        <v>307</v>
      </c>
      <c r="E12" s="48" t="s">
        <v>172</v>
      </c>
      <c r="F12" s="15">
        <v>87</v>
      </c>
      <c r="G12" s="15">
        <v>85</v>
      </c>
      <c r="H12" s="15">
        <v>86</v>
      </c>
      <c r="I12" s="48" t="s">
        <v>393</v>
      </c>
      <c r="J12" s="48" t="s">
        <v>394</v>
      </c>
      <c r="K12" s="48" t="s">
        <v>145</v>
      </c>
      <c r="L12" s="48" t="s">
        <v>146</v>
      </c>
      <c r="M12" s="48" t="s">
        <v>147</v>
      </c>
      <c r="N12" s="48" t="s">
        <v>148</v>
      </c>
      <c r="O12" s="48" t="s">
        <v>395</v>
      </c>
      <c r="P12" s="48" t="s">
        <v>150</v>
      </c>
      <c r="Q12" s="48" t="s">
        <v>151</v>
      </c>
      <c r="R12" s="48" t="s">
        <v>140</v>
      </c>
      <c r="S12" s="48">
        <v>1</v>
      </c>
      <c r="T12" s="48">
        <v>1</v>
      </c>
      <c r="U12" s="49" t="s">
        <v>2394</v>
      </c>
      <c r="V12" s="48" t="s">
        <v>240</v>
      </c>
      <c r="W12" s="49" t="s">
        <v>1904</v>
      </c>
      <c r="X12" s="49" t="s">
        <v>1905</v>
      </c>
      <c r="Y12" s="48" t="s">
        <v>41</v>
      </c>
      <c r="Z12" s="48" t="s">
        <v>41</v>
      </c>
      <c r="AA12" s="49" t="s">
        <v>1869</v>
      </c>
      <c r="AB12" s="50">
        <v>1.1893939393939394</v>
      </c>
      <c r="AC12" s="48">
        <v>2026</v>
      </c>
      <c r="AD12" s="51">
        <v>400</v>
      </c>
      <c r="AE12" s="51">
        <v>390</v>
      </c>
      <c r="AF12" s="51">
        <v>375</v>
      </c>
      <c r="AG12" s="51">
        <v>345</v>
      </c>
      <c r="AH12" s="51">
        <v>375</v>
      </c>
      <c r="AI12" s="51">
        <f t="shared" si="0"/>
        <v>377</v>
      </c>
      <c r="AJ12" s="51">
        <f t="shared" si="1"/>
        <v>20.796634343085422</v>
      </c>
      <c r="AK12" s="52">
        <f t="shared" si="2"/>
        <v>5</v>
      </c>
      <c r="AL12" s="48" t="s">
        <v>396</v>
      </c>
      <c r="AM12" s="48"/>
      <c r="AN12" s="48">
        <v>390</v>
      </c>
      <c r="AO12" s="48">
        <v>375</v>
      </c>
      <c r="AP12" s="48">
        <v>345</v>
      </c>
      <c r="AQ12" s="48">
        <v>375</v>
      </c>
      <c r="AR12" s="48"/>
      <c r="AS12" s="48"/>
      <c r="AT12" s="48">
        <v>397</v>
      </c>
      <c r="AU12" s="48">
        <v>369</v>
      </c>
      <c r="AV12" s="48">
        <v>405</v>
      </c>
      <c r="AW12" s="49" t="s">
        <v>1971</v>
      </c>
      <c r="AX12" s="48">
        <v>345</v>
      </c>
      <c r="AY12" s="48">
        <v>397</v>
      </c>
      <c r="AZ12" s="51"/>
      <c r="BA12" s="51"/>
      <c r="BB12" s="51"/>
      <c r="BC12" s="51"/>
      <c r="BD12" s="48" t="s">
        <v>157</v>
      </c>
      <c r="BE12" s="48" t="s">
        <v>397</v>
      </c>
      <c r="BF12" s="48" t="s">
        <v>398</v>
      </c>
      <c r="BG12" s="48" t="s">
        <v>399</v>
      </c>
      <c r="BH12" s="48" t="s">
        <v>161</v>
      </c>
      <c r="BI12" s="48" t="s">
        <v>162</v>
      </c>
      <c r="BJ12" s="48" t="s">
        <v>400</v>
      </c>
      <c r="BK12" s="48" t="s">
        <v>164</v>
      </c>
      <c r="BL12" s="48" t="s">
        <v>165</v>
      </c>
      <c r="BM12" s="49" t="s">
        <v>1865</v>
      </c>
      <c r="BN12" s="48" t="s">
        <v>305</v>
      </c>
      <c r="BO12" s="48" t="s">
        <v>167</v>
      </c>
      <c r="BP12" s="52">
        <v>0</v>
      </c>
      <c r="BQ12" s="52">
        <v>0</v>
      </c>
      <c r="BR12" s="48"/>
      <c r="BS12" s="48" t="s">
        <v>168</v>
      </c>
      <c r="BT12" s="48" t="s">
        <v>169</v>
      </c>
      <c r="BU12" s="48" t="s">
        <v>170</v>
      </c>
      <c r="BV12" s="48"/>
    </row>
    <row r="13" spans="1:74" ht="78" customHeight="1">
      <c r="A13" s="35" t="s">
        <v>401</v>
      </c>
      <c r="B13" s="36" t="s">
        <v>140</v>
      </c>
      <c r="C13" s="36" t="s">
        <v>140</v>
      </c>
      <c r="D13" s="36" t="s">
        <v>209</v>
      </c>
      <c r="E13" s="36" t="s">
        <v>172</v>
      </c>
      <c r="F13" s="15">
        <v>87</v>
      </c>
      <c r="G13" s="15">
        <v>87</v>
      </c>
      <c r="H13" s="15">
        <v>87</v>
      </c>
      <c r="I13" s="36" t="s">
        <v>393</v>
      </c>
      <c r="J13" s="36" t="s">
        <v>402</v>
      </c>
      <c r="K13" s="36" t="s">
        <v>145</v>
      </c>
      <c r="L13" s="36" t="s">
        <v>195</v>
      </c>
      <c r="M13" s="36" t="s">
        <v>147</v>
      </c>
      <c r="N13" s="36" t="s">
        <v>148</v>
      </c>
      <c r="O13" s="36" t="s">
        <v>149</v>
      </c>
      <c r="P13" s="36" t="s">
        <v>150</v>
      </c>
      <c r="Q13" s="36" t="s">
        <v>151</v>
      </c>
      <c r="R13" s="36" t="s">
        <v>248</v>
      </c>
      <c r="S13" s="36">
        <v>0</v>
      </c>
      <c r="T13" s="36">
        <v>0</v>
      </c>
      <c r="U13" s="37" t="s">
        <v>2395</v>
      </c>
      <c r="V13" s="36" t="s">
        <v>168</v>
      </c>
      <c r="W13" s="37" t="s">
        <v>1874</v>
      </c>
      <c r="X13" s="37" t="s">
        <v>1875</v>
      </c>
      <c r="Y13" s="36" t="s">
        <v>41</v>
      </c>
      <c r="Z13" s="36" t="s">
        <v>41</v>
      </c>
      <c r="AA13" s="37" t="s">
        <v>1869</v>
      </c>
      <c r="AB13" s="38">
        <v>1.3333333333333333</v>
      </c>
      <c r="AC13" s="36">
        <v>2026</v>
      </c>
      <c r="AD13" s="39">
        <v>370</v>
      </c>
      <c r="AE13" s="39">
        <v>365</v>
      </c>
      <c r="AF13" s="39">
        <v>370</v>
      </c>
      <c r="AG13" s="39">
        <v>360</v>
      </c>
      <c r="AH13" s="39">
        <v>370</v>
      </c>
      <c r="AI13" s="39">
        <f t="shared" si="0"/>
        <v>367</v>
      </c>
      <c r="AJ13" s="39">
        <f t="shared" si="1"/>
        <v>4.4721359549995796</v>
      </c>
      <c r="AK13" s="40">
        <f t="shared" si="2"/>
        <v>5</v>
      </c>
      <c r="AL13" s="36" t="s">
        <v>261</v>
      </c>
      <c r="AM13" s="36"/>
      <c r="AN13" s="36">
        <v>369</v>
      </c>
      <c r="AO13" s="36">
        <v>409</v>
      </c>
      <c r="AP13" s="36">
        <v>389</v>
      </c>
      <c r="AQ13" s="36">
        <v>390</v>
      </c>
      <c r="AR13" s="36">
        <v>422</v>
      </c>
      <c r="AS13" s="36"/>
      <c r="AT13" s="36">
        <v>422</v>
      </c>
      <c r="AU13" s="36">
        <v>398</v>
      </c>
      <c r="AV13" s="36">
        <v>403</v>
      </c>
      <c r="AW13" s="37" t="s">
        <v>1971</v>
      </c>
      <c r="AX13" s="36">
        <v>369</v>
      </c>
      <c r="AY13" s="36">
        <v>412.5</v>
      </c>
      <c r="AZ13" s="39"/>
      <c r="BA13" s="39"/>
      <c r="BB13" s="39"/>
      <c r="BC13" s="39"/>
      <c r="BD13" s="36" t="s">
        <v>157</v>
      </c>
      <c r="BE13" s="36" t="s">
        <v>403</v>
      </c>
      <c r="BF13" s="36" t="s">
        <v>404</v>
      </c>
      <c r="BG13" s="36" t="s">
        <v>405</v>
      </c>
      <c r="BH13" s="36" t="s">
        <v>161</v>
      </c>
      <c r="BI13" s="36" t="s">
        <v>295</v>
      </c>
      <c r="BJ13" s="36" t="s">
        <v>296</v>
      </c>
      <c r="BK13" s="36" t="s">
        <v>164</v>
      </c>
      <c r="BL13" s="36" t="s">
        <v>165</v>
      </c>
      <c r="BM13" s="37" t="s">
        <v>1865</v>
      </c>
      <c r="BN13" s="36" t="s">
        <v>406</v>
      </c>
      <c r="BO13" s="36" t="s">
        <v>167</v>
      </c>
      <c r="BP13" s="40">
        <v>0</v>
      </c>
      <c r="BQ13" s="40">
        <v>0</v>
      </c>
      <c r="BR13" s="36"/>
      <c r="BS13" s="36" t="s">
        <v>168</v>
      </c>
      <c r="BT13" s="36" t="s">
        <v>169</v>
      </c>
      <c r="BU13" s="36" t="s">
        <v>170</v>
      </c>
      <c r="BV13" s="36"/>
    </row>
    <row r="14" spans="1:74" ht="78" customHeight="1">
      <c r="A14" s="53" t="s">
        <v>438</v>
      </c>
      <c r="B14" s="54" t="s">
        <v>140</v>
      </c>
      <c r="C14" s="54" t="s">
        <v>140</v>
      </c>
      <c r="D14" s="54" t="s">
        <v>259</v>
      </c>
      <c r="E14" s="54" t="s">
        <v>172</v>
      </c>
      <c r="F14" s="15">
        <v>84</v>
      </c>
      <c r="G14" s="15">
        <v>84</v>
      </c>
      <c r="H14" s="15">
        <v>84</v>
      </c>
      <c r="I14" s="54" t="s">
        <v>393</v>
      </c>
      <c r="J14" s="54" t="s">
        <v>439</v>
      </c>
      <c r="K14" s="54" t="s">
        <v>145</v>
      </c>
      <c r="L14" s="54" t="s">
        <v>146</v>
      </c>
      <c r="M14" s="54" t="s">
        <v>147</v>
      </c>
      <c r="N14" s="54" t="s">
        <v>148</v>
      </c>
      <c r="O14" s="54" t="s">
        <v>149</v>
      </c>
      <c r="P14" s="54" t="s">
        <v>150</v>
      </c>
      <c r="Q14" s="54" t="s">
        <v>151</v>
      </c>
      <c r="R14" s="54" t="s">
        <v>140</v>
      </c>
      <c r="S14" s="54">
        <v>1</v>
      </c>
      <c r="T14" s="54">
        <v>1</v>
      </c>
      <c r="U14" s="55" t="s">
        <v>2396</v>
      </c>
      <c r="V14" s="54" t="s">
        <v>152</v>
      </c>
      <c r="W14" s="55" t="s">
        <v>1864</v>
      </c>
      <c r="X14" s="55" t="s">
        <v>1903</v>
      </c>
      <c r="Y14" s="54" t="s">
        <v>41</v>
      </c>
      <c r="Z14" s="54" t="s">
        <v>41</v>
      </c>
      <c r="AA14" s="55" t="s">
        <v>1869</v>
      </c>
      <c r="AB14" s="56">
        <v>1.25</v>
      </c>
      <c r="AC14" s="54">
        <v>2026</v>
      </c>
      <c r="AD14" s="57">
        <v>370</v>
      </c>
      <c r="AE14" s="57">
        <v>360</v>
      </c>
      <c r="AF14" s="57">
        <v>365</v>
      </c>
      <c r="AG14" s="57">
        <v>355</v>
      </c>
      <c r="AH14" s="57">
        <v>370</v>
      </c>
      <c r="AI14" s="57">
        <f t="shared" si="0"/>
        <v>364</v>
      </c>
      <c r="AJ14" s="57">
        <f t="shared" si="1"/>
        <v>6.5192024052026492</v>
      </c>
      <c r="AK14" s="58">
        <f t="shared" si="2"/>
        <v>5</v>
      </c>
      <c r="AL14" s="54" t="s">
        <v>261</v>
      </c>
      <c r="AM14" s="54"/>
      <c r="AN14" s="54"/>
      <c r="AO14" s="54">
        <v>366</v>
      </c>
      <c r="AP14" s="54">
        <v>356</v>
      </c>
      <c r="AQ14" s="54">
        <v>370</v>
      </c>
      <c r="AR14" s="54"/>
      <c r="AS14" s="54"/>
      <c r="AT14" s="54">
        <v>397.5</v>
      </c>
      <c r="AU14" s="54"/>
      <c r="AV14" s="54">
        <v>412</v>
      </c>
      <c r="AW14" s="55" t="s">
        <v>1970</v>
      </c>
      <c r="AX14" s="54">
        <v>356</v>
      </c>
      <c r="AY14" s="54">
        <v>404.75</v>
      </c>
      <c r="AZ14" s="57"/>
      <c r="BA14" s="57"/>
      <c r="BB14" s="57"/>
      <c r="BC14" s="57"/>
      <c r="BD14" s="54" t="s">
        <v>157</v>
      </c>
      <c r="BE14" s="54" t="s">
        <v>440</v>
      </c>
      <c r="BF14" s="54" t="s">
        <v>441</v>
      </c>
      <c r="BG14" s="54" t="s">
        <v>442</v>
      </c>
      <c r="BH14" s="54" t="s">
        <v>161</v>
      </c>
      <c r="BI14" s="54" t="s">
        <v>231</v>
      </c>
      <c r="BJ14" s="54" t="s">
        <v>304</v>
      </c>
      <c r="BK14" s="54" t="s">
        <v>164</v>
      </c>
      <c r="BL14" s="54" t="s">
        <v>165</v>
      </c>
      <c r="BM14" s="55" t="s">
        <v>1865</v>
      </c>
      <c r="BN14" s="54" t="s">
        <v>247</v>
      </c>
      <c r="BO14" s="54" t="s">
        <v>167</v>
      </c>
      <c r="BP14" s="58">
        <v>0</v>
      </c>
      <c r="BQ14" s="58">
        <v>0</v>
      </c>
      <c r="BR14" s="54"/>
      <c r="BS14" s="54" t="s">
        <v>168</v>
      </c>
      <c r="BT14" s="54" t="s">
        <v>169</v>
      </c>
      <c r="BU14" s="54" t="s">
        <v>170</v>
      </c>
      <c r="BV14" s="54"/>
    </row>
    <row r="15" spans="1:74" ht="78" customHeight="1">
      <c r="A15" s="47" t="s">
        <v>51</v>
      </c>
      <c r="B15" s="48" t="s">
        <v>140</v>
      </c>
      <c r="C15" s="48" t="s">
        <v>140</v>
      </c>
      <c r="D15" s="48" t="s">
        <v>267</v>
      </c>
      <c r="E15" s="48" t="s">
        <v>172</v>
      </c>
      <c r="F15" s="15">
        <v>95</v>
      </c>
      <c r="G15" s="15">
        <v>94</v>
      </c>
      <c r="H15" s="15">
        <v>97</v>
      </c>
      <c r="I15" s="48" t="s">
        <v>143</v>
      </c>
      <c r="J15" s="48" t="s">
        <v>268</v>
      </c>
      <c r="K15" s="48" t="s">
        <v>145</v>
      </c>
      <c r="L15" s="48" t="s">
        <v>146</v>
      </c>
      <c r="M15" s="48" t="s">
        <v>147</v>
      </c>
      <c r="N15" s="48" t="s">
        <v>148</v>
      </c>
      <c r="O15" s="48" t="s">
        <v>149</v>
      </c>
      <c r="P15" s="48" t="s">
        <v>150</v>
      </c>
      <c r="Q15" s="48" t="s">
        <v>151</v>
      </c>
      <c r="R15" s="48" t="s">
        <v>140</v>
      </c>
      <c r="S15" s="48">
        <v>1</v>
      </c>
      <c r="T15" s="48">
        <v>1</v>
      </c>
      <c r="U15" s="49" t="s">
        <v>2397</v>
      </c>
      <c r="V15" s="48" t="s">
        <v>240</v>
      </c>
      <c r="W15" s="49" t="s">
        <v>1889</v>
      </c>
      <c r="X15" s="49" t="s">
        <v>1890</v>
      </c>
      <c r="Y15" s="48" t="s">
        <v>41</v>
      </c>
      <c r="Z15" s="48" t="s">
        <v>41</v>
      </c>
      <c r="AA15" s="49" t="s">
        <v>1869</v>
      </c>
      <c r="AB15" s="50">
        <v>0.5757575757575758</v>
      </c>
      <c r="AC15" s="48">
        <v>2026</v>
      </c>
      <c r="AD15" s="51">
        <v>360</v>
      </c>
      <c r="AE15" s="51">
        <v>370</v>
      </c>
      <c r="AF15" s="51">
        <v>350</v>
      </c>
      <c r="AG15" s="51">
        <v>345</v>
      </c>
      <c r="AH15" s="51">
        <v>360</v>
      </c>
      <c r="AI15" s="51">
        <f t="shared" si="0"/>
        <v>357</v>
      </c>
      <c r="AJ15" s="51">
        <f t="shared" si="1"/>
        <v>9.7467943448089631</v>
      </c>
      <c r="AK15" s="52">
        <f t="shared" si="2"/>
        <v>5</v>
      </c>
      <c r="AL15" s="48" t="s">
        <v>261</v>
      </c>
      <c r="AM15" s="48"/>
      <c r="AN15" s="48">
        <v>376</v>
      </c>
      <c r="AO15" s="48">
        <v>350</v>
      </c>
      <c r="AP15" s="48">
        <v>362</v>
      </c>
      <c r="AQ15" s="48">
        <v>370</v>
      </c>
      <c r="AR15" s="48"/>
      <c r="AS15" s="48"/>
      <c r="AT15" s="48"/>
      <c r="AU15" s="48"/>
      <c r="AV15" s="48">
        <v>398</v>
      </c>
      <c r="AW15" s="49" t="s">
        <v>1972</v>
      </c>
      <c r="AX15" s="48">
        <v>350</v>
      </c>
      <c r="AY15" s="48">
        <v>398</v>
      </c>
      <c r="AZ15" s="51"/>
      <c r="BA15" s="51"/>
      <c r="BB15" s="51"/>
      <c r="BC15" s="51"/>
      <c r="BD15" s="48" t="s">
        <v>157</v>
      </c>
      <c r="BE15" s="48" t="s">
        <v>269</v>
      </c>
      <c r="BF15" s="48" t="s">
        <v>270</v>
      </c>
      <c r="BG15" s="48" t="s">
        <v>271</v>
      </c>
      <c r="BH15" s="48" t="s">
        <v>161</v>
      </c>
      <c r="BI15" s="48" t="s">
        <v>272</v>
      </c>
      <c r="BJ15" s="48" t="s">
        <v>273</v>
      </c>
      <c r="BK15" s="48" t="s">
        <v>164</v>
      </c>
      <c r="BL15" s="48" t="s">
        <v>165</v>
      </c>
      <c r="BM15" s="49" t="s">
        <v>1865</v>
      </c>
      <c r="BN15" s="48" t="s">
        <v>274</v>
      </c>
      <c r="BO15" s="48" t="s">
        <v>167</v>
      </c>
      <c r="BP15" s="52">
        <v>0</v>
      </c>
      <c r="BQ15" s="52">
        <v>0</v>
      </c>
      <c r="BR15" s="48"/>
      <c r="BS15" s="48" t="s">
        <v>168</v>
      </c>
      <c r="BT15" s="48" t="s">
        <v>169</v>
      </c>
      <c r="BU15" s="48" t="s">
        <v>170</v>
      </c>
      <c r="BV15" s="48"/>
    </row>
    <row r="16" spans="1:74" ht="78" customHeight="1">
      <c r="A16" s="47" t="s">
        <v>387</v>
      </c>
      <c r="B16" s="48" t="s">
        <v>140</v>
      </c>
      <c r="C16" s="48" t="s">
        <v>140</v>
      </c>
      <c r="D16" s="48" t="s">
        <v>259</v>
      </c>
      <c r="E16" s="48" t="s">
        <v>172</v>
      </c>
      <c r="F16" s="15">
        <v>88</v>
      </c>
      <c r="G16" s="15">
        <v>88</v>
      </c>
      <c r="H16" s="15">
        <v>88</v>
      </c>
      <c r="I16" s="48" t="s">
        <v>275</v>
      </c>
      <c r="J16" s="48" t="s">
        <v>388</v>
      </c>
      <c r="K16" s="48" t="s">
        <v>145</v>
      </c>
      <c r="L16" s="48" t="s">
        <v>146</v>
      </c>
      <c r="M16" s="48" t="s">
        <v>147</v>
      </c>
      <c r="N16" s="48" t="s">
        <v>148</v>
      </c>
      <c r="O16" s="48" t="s">
        <v>149</v>
      </c>
      <c r="P16" s="48" t="s">
        <v>150</v>
      </c>
      <c r="Q16" s="48" t="s">
        <v>151</v>
      </c>
      <c r="R16" s="48" t="s">
        <v>140</v>
      </c>
      <c r="S16" s="48">
        <v>1</v>
      </c>
      <c r="T16" s="48">
        <v>1</v>
      </c>
      <c r="U16" s="49" t="s">
        <v>2398</v>
      </c>
      <c r="V16" s="48" t="s">
        <v>240</v>
      </c>
      <c r="W16" s="49" t="s">
        <v>1867</v>
      </c>
      <c r="X16" s="49" t="s">
        <v>1876</v>
      </c>
      <c r="Y16" s="49" t="s">
        <v>1979</v>
      </c>
      <c r="Z16" s="49" t="s">
        <v>1979</v>
      </c>
      <c r="AA16" s="49" t="s">
        <v>1877</v>
      </c>
      <c r="AB16" s="50">
        <v>1.2222222222222223</v>
      </c>
      <c r="AC16" s="48">
        <v>2026</v>
      </c>
      <c r="AD16" s="51">
        <v>370</v>
      </c>
      <c r="AE16" s="51">
        <v>370</v>
      </c>
      <c r="AF16" s="51">
        <v>370</v>
      </c>
      <c r="AG16" s="51">
        <v>365</v>
      </c>
      <c r="AH16" s="51">
        <v>355</v>
      </c>
      <c r="AI16" s="51">
        <f t="shared" si="0"/>
        <v>366</v>
      </c>
      <c r="AJ16" s="51">
        <f t="shared" si="1"/>
        <v>6.5192024052026492</v>
      </c>
      <c r="AK16" s="52">
        <f t="shared" si="2"/>
        <v>5</v>
      </c>
      <c r="AL16" s="48" t="s">
        <v>261</v>
      </c>
      <c r="AM16" s="48"/>
      <c r="AN16" s="48"/>
      <c r="AO16" s="48">
        <v>391</v>
      </c>
      <c r="AP16" s="48">
        <v>370</v>
      </c>
      <c r="AQ16" s="48">
        <v>402</v>
      </c>
      <c r="AR16" s="48">
        <v>409</v>
      </c>
      <c r="AS16" s="48"/>
      <c r="AT16" s="48"/>
      <c r="AU16" s="48">
        <v>383</v>
      </c>
      <c r="AV16" s="48">
        <v>415</v>
      </c>
      <c r="AW16" s="49" t="s">
        <v>1975</v>
      </c>
      <c r="AX16" s="48">
        <v>370</v>
      </c>
      <c r="AY16" s="48">
        <v>399</v>
      </c>
      <c r="AZ16" s="51"/>
      <c r="BA16" s="51"/>
      <c r="BB16" s="51"/>
      <c r="BC16" s="51"/>
      <c r="BD16" s="48" t="s">
        <v>157</v>
      </c>
      <c r="BE16" s="48" t="s">
        <v>389</v>
      </c>
      <c r="BF16" s="48" t="s">
        <v>359</v>
      </c>
      <c r="BG16" s="48" t="s">
        <v>390</v>
      </c>
      <c r="BH16" s="48" t="s">
        <v>161</v>
      </c>
      <c r="BI16" s="48" t="s">
        <v>231</v>
      </c>
      <c r="BJ16" s="48" t="s">
        <v>391</v>
      </c>
      <c r="BK16" s="48" t="s">
        <v>164</v>
      </c>
      <c r="BL16" s="48" t="s">
        <v>165</v>
      </c>
      <c r="BM16" s="49" t="s">
        <v>1865</v>
      </c>
      <c r="BN16" s="48" t="s">
        <v>202</v>
      </c>
      <c r="BO16" s="48" t="s">
        <v>167</v>
      </c>
      <c r="BP16" s="52">
        <v>0</v>
      </c>
      <c r="BQ16" s="52">
        <v>0</v>
      </c>
      <c r="BR16" s="48"/>
      <c r="BS16" s="48" t="s">
        <v>168</v>
      </c>
      <c r="BT16" s="48" t="s">
        <v>169</v>
      </c>
      <c r="BU16" s="48" t="s">
        <v>170</v>
      </c>
      <c r="BV16" s="48"/>
    </row>
    <row r="17" spans="1:74" ht="78" customHeight="1">
      <c r="A17" s="59" t="s">
        <v>407</v>
      </c>
      <c r="B17" s="60" t="s">
        <v>140</v>
      </c>
      <c r="C17" s="60" t="s">
        <v>140</v>
      </c>
      <c r="D17" s="60" t="s">
        <v>259</v>
      </c>
      <c r="E17" s="60" t="s">
        <v>172</v>
      </c>
      <c r="F17" s="15">
        <v>87</v>
      </c>
      <c r="G17" s="15">
        <v>87</v>
      </c>
      <c r="H17" s="15">
        <v>87</v>
      </c>
      <c r="I17" s="60" t="s">
        <v>393</v>
      </c>
      <c r="J17" s="60" t="s">
        <v>408</v>
      </c>
      <c r="K17" s="60" t="s">
        <v>145</v>
      </c>
      <c r="L17" s="60" t="s">
        <v>146</v>
      </c>
      <c r="M17" s="60" t="s">
        <v>147</v>
      </c>
      <c r="N17" s="60" t="s">
        <v>148</v>
      </c>
      <c r="O17" s="60" t="s">
        <v>409</v>
      </c>
      <c r="P17" s="60" t="s">
        <v>150</v>
      </c>
      <c r="Q17" s="60" t="s">
        <v>151</v>
      </c>
      <c r="R17" s="60" t="s">
        <v>140</v>
      </c>
      <c r="S17" s="60">
        <v>1</v>
      </c>
      <c r="T17" s="60">
        <v>1</v>
      </c>
      <c r="U17" s="61" t="s">
        <v>2399</v>
      </c>
      <c r="V17" s="60" t="s">
        <v>240</v>
      </c>
      <c r="W17" s="61" t="s">
        <v>1867</v>
      </c>
      <c r="X17" s="60" t="s">
        <v>410</v>
      </c>
      <c r="Y17" s="60" t="s">
        <v>41</v>
      </c>
      <c r="Z17" s="60" t="s">
        <v>41</v>
      </c>
      <c r="AA17" s="60" t="s">
        <v>411</v>
      </c>
      <c r="AB17" s="62">
        <v>1.6470588235294117</v>
      </c>
      <c r="AC17" s="60">
        <v>2026</v>
      </c>
      <c r="AD17" s="63">
        <v>370</v>
      </c>
      <c r="AE17" s="63">
        <v>370</v>
      </c>
      <c r="AF17" s="63">
        <v>355</v>
      </c>
      <c r="AG17" s="63">
        <v>345</v>
      </c>
      <c r="AH17" s="63">
        <v>355</v>
      </c>
      <c r="AI17" s="63">
        <f t="shared" si="0"/>
        <v>359</v>
      </c>
      <c r="AJ17" s="63">
        <f t="shared" si="1"/>
        <v>10.8397416943394</v>
      </c>
      <c r="AK17" s="64">
        <f t="shared" si="2"/>
        <v>5</v>
      </c>
      <c r="AL17" s="60" t="s">
        <v>261</v>
      </c>
      <c r="AM17" s="60">
        <v>390</v>
      </c>
      <c r="AN17" s="60">
        <v>377</v>
      </c>
      <c r="AO17" s="60">
        <v>363</v>
      </c>
      <c r="AP17" s="60">
        <v>362</v>
      </c>
      <c r="AQ17" s="60">
        <v>390</v>
      </c>
      <c r="AR17" s="60"/>
      <c r="AS17" s="60"/>
      <c r="AT17" s="60">
        <v>394.5</v>
      </c>
      <c r="AU17" s="60">
        <v>391</v>
      </c>
      <c r="AV17" s="60">
        <v>415</v>
      </c>
      <c r="AW17" s="61" t="s">
        <v>1971</v>
      </c>
      <c r="AX17" s="60">
        <v>362</v>
      </c>
      <c r="AY17" s="60">
        <v>394.5</v>
      </c>
      <c r="AZ17" s="63"/>
      <c r="BA17" s="63"/>
      <c r="BB17" s="63"/>
      <c r="BC17" s="63"/>
      <c r="BD17" s="60" t="s">
        <v>157</v>
      </c>
      <c r="BE17" s="60" t="s">
        <v>412</v>
      </c>
      <c r="BF17" s="60" t="s">
        <v>413</v>
      </c>
      <c r="BG17" s="60" t="s">
        <v>414</v>
      </c>
      <c r="BH17" s="60" t="s">
        <v>161</v>
      </c>
      <c r="BI17" s="60" t="s">
        <v>162</v>
      </c>
      <c r="BJ17" s="60" t="s">
        <v>272</v>
      </c>
      <c r="BK17" s="60" t="s">
        <v>164</v>
      </c>
      <c r="BL17" s="60" t="s">
        <v>165</v>
      </c>
      <c r="BM17" s="61" t="s">
        <v>1865</v>
      </c>
      <c r="BN17" s="60" t="s">
        <v>247</v>
      </c>
      <c r="BO17" s="60" t="s">
        <v>167</v>
      </c>
      <c r="BP17" s="64">
        <v>0</v>
      </c>
      <c r="BQ17" s="64">
        <v>0</v>
      </c>
      <c r="BR17" s="60"/>
      <c r="BS17" s="60" t="s">
        <v>168</v>
      </c>
      <c r="BT17" s="60" t="s">
        <v>169</v>
      </c>
      <c r="BU17" s="60" t="s">
        <v>170</v>
      </c>
      <c r="BV17" s="60"/>
    </row>
    <row r="18" spans="1:74" ht="78" customHeight="1">
      <c r="A18" s="35" t="s">
        <v>331</v>
      </c>
      <c r="B18" s="36" t="s">
        <v>140</v>
      </c>
      <c r="C18" s="36" t="s">
        <v>140</v>
      </c>
      <c r="D18" s="36" t="s">
        <v>259</v>
      </c>
      <c r="E18" s="36" t="s">
        <v>172</v>
      </c>
      <c r="F18" s="15">
        <v>91</v>
      </c>
      <c r="G18" s="15">
        <v>90</v>
      </c>
      <c r="H18" s="15">
        <v>93</v>
      </c>
      <c r="I18" s="36" t="s">
        <v>275</v>
      </c>
      <c r="J18" s="36" t="s">
        <v>332</v>
      </c>
      <c r="K18" s="36" t="s">
        <v>145</v>
      </c>
      <c r="L18" s="36" t="s">
        <v>195</v>
      </c>
      <c r="M18" s="36" t="s">
        <v>147</v>
      </c>
      <c r="N18" s="36" t="s">
        <v>148</v>
      </c>
      <c r="O18" s="36" t="s">
        <v>149</v>
      </c>
      <c r="P18" s="36" t="s">
        <v>150</v>
      </c>
      <c r="Q18" s="36" t="s">
        <v>151</v>
      </c>
      <c r="R18" s="36" t="s">
        <v>248</v>
      </c>
      <c r="S18" s="36">
        <v>0</v>
      </c>
      <c r="T18" s="36">
        <v>0</v>
      </c>
      <c r="U18" s="37" t="s">
        <v>2400</v>
      </c>
      <c r="V18" s="36" t="s">
        <v>168</v>
      </c>
      <c r="W18" s="37" t="s">
        <v>1874</v>
      </c>
      <c r="X18" s="37" t="s">
        <v>1907</v>
      </c>
      <c r="Y18" s="36" t="s">
        <v>41</v>
      </c>
      <c r="Z18" s="36" t="s">
        <v>41</v>
      </c>
      <c r="AA18" s="37" t="s">
        <v>1869</v>
      </c>
      <c r="AB18" s="38">
        <v>1</v>
      </c>
      <c r="AC18" s="36">
        <v>2025</v>
      </c>
      <c r="AD18" s="39"/>
      <c r="AE18" s="39">
        <v>350</v>
      </c>
      <c r="AF18" s="39">
        <v>360</v>
      </c>
      <c r="AG18" s="39">
        <v>350</v>
      </c>
      <c r="AH18" s="39">
        <v>350</v>
      </c>
      <c r="AI18" s="39">
        <f t="shared" si="0"/>
        <v>352.5</v>
      </c>
      <c r="AJ18" s="39">
        <f t="shared" si="1"/>
        <v>5</v>
      </c>
      <c r="AK18" s="40">
        <f t="shared" si="2"/>
        <v>4</v>
      </c>
      <c r="AL18" s="36" t="s">
        <v>261</v>
      </c>
      <c r="AM18" s="36"/>
      <c r="AN18" s="36">
        <v>351</v>
      </c>
      <c r="AO18" s="36">
        <v>371</v>
      </c>
      <c r="AP18" s="36">
        <v>350</v>
      </c>
      <c r="AQ18" s="36">
        <v>357</v>
      </c>
      <c r="AR18" s="36"/>
      <c r="AS18" s="36"/>
      <c r="AT18" s="36">
        <v>386.5</v>
      </c>
      <c r="AU18" s="36">
        <v>380</v>
      </c>
      <c r="AV18" s="36">
        <v>361</v>
      </c>
      <c r="AW18" s="37" t="s">
        <v>1971</v>
      </c>
      <c r="AX18" s="36">
        <v>350</v>
      </c>
      <c r="AY18" s="36">
        <v>380</v>
      </c>
      <c r="AZ18" s="39"/>
      <c r="BA18" s="39"/>
      <c r="BB18" s="39"/>
      <c r="BC18" s="39"/>
      <c r="BD18" s="36" t="s">
        <v>157</v>
      </c>
      <c r="BE18" s="36" t="s">
        <v>335</v>
      </c>
      <c r="BF18" s="36" t="s">
        <v>270</v>
      </c>
      <c r="BG18" s="36" t="s">
        <v>336</v>
      </c>
      <c r="BH18" s="36" t="s">
        <v>161</v>
      </c>
      <c r="BI18" s="36" t="s">
        <v>231</v>
      </c>
      <c r="BJ18" s="36" t="s">
        <v>296</v>
      </c>
      <c r="BK18" s="36" t="s">
        <v>164</v>
      </c>
      <c r="BL18" s="36" t="s">
        <v>165</v>
      </c>
      <c r="BM18" s="37" t="s">
        <v>1865</v>
      </c>
      <c r="BN18" s="36" t="s">
        <v>337</v>
      </c>
      <c r="BO18" s="36" t="s">
        <v>167</v>
      </c>
      <c r="BP18" s="40">
        <v>0</v>
      </c>
      <c r="BQ18" s="40">
        <v>0</v>
      </c>
      <c r="BR18" s="36"/>
      <c r="BS18" s="36" t="s">
        <v>168</v>
      </c>
      <c r="BT18" s="36" t="s">
        <v>169</v>
      </c>
      <c r="BU18" s="36" t="s">
        <v>170</v>
      </c>
      <c r="BV18" s="36"/>
    </row>
    <row r="19" spans="1:74" ht="78" customHeight="1">
      <c r="A19" s="53" t="s">
        <v>415</v>
      </c>
      <c r="B19" s="54" t="s">
        <v>140</v>
      </c>
      <c r="C19" s="54" t="s">
        <v>140</v>
      </c>
      <c r="D19" s="54" t="s">
        <v>416</v>
      </c>
      <c r="E19" s="54" t="s">
        <v>172</v>
      </c>
      <c r="F19" s="15">
        <v>86</v>
      </c>
      <c r="G19" s="15">
        <v>86</v>
      </c>
      <c r="H19" s="15">
        <v>86</v>
      </c>
      <c r="I19" s="54" t="s">
        <v>393</v>
      </c>
      <c r="J19" s="54" t="s">
        <v>417</v>
      </c>
      <c r="K19" s="54" t="s">
        <v>145</v>
      </c>
      <c r="L19" s="54" t="s">
        <v>146</v>
      </c>
      <c r="M19" s="54" t="s">
        <v>147</v>
      </c>
      <c r="N19" s="54" t="s">
        <v>148</v>
      </c>
      <c r="O19" s="54" t="s">
        <v>149</v>
      </c>
      <c r="P19" s="54" t="s">
        <v>150</v>
      </c>
      <c r="Q19" s="54" t="s">
        <v>151</v>
      </c>
      <c r="R19" s="54" t="s">
        <v>248</v>
      </c>
      <c r="S19" s="54">
        <v>0</v>
      </c>
      <c r="T19" s="54">
        <v>0</v>
      </c>
      <c r="U19" s="55" t="s">
        <v>2401</v>
      </c>
      <c r="V19" s="54" t="s">
        <v>168</v>
      </c>
      <c r="W19" s="55" t="s">
        <v>1881</v>
      </c>
      <c r="X19" s="55" t="s">
        <v>1893</v>
      </c>
      <c r="Y19" s="54" t="s">
        <v>41</v>
      </c>
      <c r="Z19" s="54" t="s">
        <v>41</v>
      </c>
      <c r="AA19" s="55" t="s">
        <v>1869</v>
      </c>
      <c r="AB19" s="56">
        <v>1.5555555555555556</v>
      </c>
      <c r="AC19" s="54">
        <v>2026</v>
      </c>
      <c r="AD19" s="57">
        <v>360</v>
      </c>
      <c r="AE19" s="57">
        <v>360</v>
      </c>
      <c r="AF19" s="57">
        <v>360</v>
      </c>
      <c r="AG19" s="57">
        <v>350</v>
      </c>
      <c r="AH19" s="57">
        <v>350</v>
      </c>
      <c r="AI19" s="57">
        <f t="shared" si="0"/>
        <v>356</v>
      </c>
      <c r="AJ19" s="57">
        <f t="shared" si="1"/>
        <v>5.4772255750516612</v>
      </c>
      <c r="AK19" s="58">
        <f t="shared" si="2"/>
        <v>5</v>
      </c>
      <c r="AL19" s="54" t="s">
        <v>261</v>
      </c>
      <c r="AM19" s="54"/>
      <c r="AN19" s="54">
        <v>382</v>
      </c>
      <c r="AO19" s="54">
        <v>398</v>
      </c>
      <c r="AP19" s="54">
        <v>386</v>
      </c>
      <c r="AQ19" s="54">
        <v>391</v>
      </c>
      <c r="AR19" s="54"/>
      <c r="AS19" s="54"/>
      <c r="AT19" s="54">
        <v>422.5</v>
      </c>
      <c r="AU19" s="54">
        <v>404</v>
      </c>
      <c r="AV19" s="54">
        <v>394</v>
      </c>
      <c r="AW19" s="55" t="s">
        <v>1971</v>
      </c>
      <c r="AX19" s="54">
        <v>382</v>
      </c>
      <c r="AY19" s="54">
        <v>404</v>
      </c>
      <c r="AZ19" s="57"/>
      <c r="BA19" s="57"/>
      <c r="BB19" s="57"/>
      <c r="BC19" s="57"/>
      <c r="BD19" s="54" t="s">
        <v>157</v>
      </c>
      <c r="BE19" s="54" t="s">
        <v>418</v>
      </c>
      <c r="BF19" s="54" t="s">
        <v>419</v>
      </c>
      <c r="BG19" s="54" t="s">
        <v>420</v>
      </c>
      <c r="BH19" s="54" t="s">
        <v>161</v>
      </c>
      <c r="BI19" s="54" t="s">
        <v>231</v>
      </c>
      <c r="BJ19" s="54" t="s">
        <v>296</v>
      </c>
      <c r="BK19" s="54" t="s">
        <v>164</v>
      </c>
      <c r="BL19" s="54" t="s">
        <v>165</v>
      </c>
      <c r="BM19" s="55" t="s">
        <v>1865</v>
      </c>
      <c r="BN19" s="54" t="s">
        <v>421</v>
      </c>
      <c r="BO19" s="54" t="s">
        <v>167</v>
      </c>
      <c r="BP19" s="58">
        <v>0</v>
      </c>
      <c r="BQ19" s="58">
        <v>0</v>
      </c>
      <c r="BR19" s="54"/>
      <c r="BS19" s="54" t="s">
        <v>168</v>
      </c>
      <c r="BT19" s="54" t="s">
        <v>169</v>
      </c>
      <c r="BU19" s="54" t="s">
        <v>170</v>
      </c>
      <c r="BV19" s="54"/>
    </row>
    <row r="20" spans="1:74" ht="78" customHeight="1">
      <c r="A20" s="41" t="s">
        <v>484</v>
      </c>
      <c r="B20" s="42" t="s">
        <v>140</v>
      </c>
      <c r="C20" s="42" t="s">
        <v>140</v>
      </c>
      <c r="D20" s="42" t="s">
        <v>485</v>
      </c>
      <c r="E20" s="42" t="s">
        <v>172</v>
      </c>
      <c r="F20" s="15">
        <v>82</v>
      </c>
      <c r="G20" s="15">
        <v>82</v>
      </c>
      <c r="H20" s="15">
        <v>82</v>
      </c>
      <c r="I20" s="42" t="s">
        <v>393</v>
      </c>
      <c r="J20" s="42" t="s">
        <v>486</v>
      </c>
      <c r="K20" s="42" t="s">
        <v>145</v>
      </c>
      <c r="L20" s="42" t="s">
        <v>146</v>
      </c>
      <c r="M20" s="42" t="s">
        <v>147</v>
      </c>
      <c r="N20" s="42" t="s">
        <v>148</v>
      </c>
      <c r="O20" s="42" t="s">
        <v>149</v>
      </c>
      <c r="P20" s="42" t="s">
        <v>150</v>
      </c>
      <c r="Q20" s="42" t="s">
        <v>151</v>
      </c>
      <c r="R20" s="42" t="s">
        <v>248</v>
      </c>
      <c r="S20" s="42">
        <v>0</v>
      </c>
      <c r="T20" s="42">
        <v>0</v>
      </c>
      <c r="U20" s="43" t="s">
        <v>2402</v>
      </c>
      <c r="V20" s="42" t="s">
        <v>168</v>
      </c>
      <c r="W20" s="43" t="s">
        <v>1891</v>
      </c>
      <c r="X20" s="43" t="s">
        <v>1892</v>
      </c>
      <c r="Y20" s="42" t="s">
        <v>41</v>
      </c>
      <c r="Z20" s="42" t="s">
        <v>41</v>
      </c>
      <c r="AA20" s="43" t="s">
        <v>1869</v>
      </c>
      <c r="AB20" s="44">
        <v>1.3</v>
      </c>
      <c r="AC20" s="42">
        <v>2026</v>
      </c>
      <c r="AD20" s="45">
        <v>370</v>
      </c>
      <c r="AE20" s="45">
        <v>355</v>
      </c>
      <c r="AF20" s="45">
        <v>355</v>
      </c>
      <c r="AG20" s="45">
        <v>345</v>
      </c>
      <c r="AH20" s="45">
        <v>345</v>
      </c>
      <c r="AI20" s="45">
        <f t="shared" si="0"/>
        <v>354</v>
      </c>
      <c r="AJ20" s="45">
        <f t="shared" si="1"/>
        <v>10.246950765959598</v>
      </c>
      <c r="AK20" s="46">
        <f t="shared" si="2"/>
        <v>5</v>
      </c>
      <c r="AL20" s="42" t="s">
        <v>261</v>
      </c>
      <c r="AM20" s="42"/>
      <c r="AN20" s="42">
        <v>377</v>
      </c>
      <c r="AO20" s="42">
        <v>359</v>
      </c>
      <c r="AP20" s="42">
        <v>377</v>
      </c>
      <c r="AQ20" s="42">
        <v>363</v>
      </c>
      <c r="AR20" s="42"/>
      <c r="AS20" s="42"/>
      <c r="AT20" s="42">
        <v>399</v>
      </c>
      <c r="AU20" s="42">
        <v>392</v>
      </c>
      <c r="AV20" s="42"/>
      <c r="AW20" s="43" t="s">
        <v>1976</v>
      </c>
      <c r="AX20" s="42">
        <v>359</v>
      </c>
      <c r="AY20" s="42">
        <v>395.5</v>
      </c>
      <c r="AZ20" s="45"/>
      <c r="BA20" s="45"/>
      <c r="BB20" s="45"/>
      <c r="BC20" s="45"/>
      <c r="BD20" s="42" t="s">
        <v>157</v>
      </c>
      <c r="BE20" s="42" t="s">
        <v>487</v>
      </c>
      <c r="BF20" s="42" t="s">
        <v>488</v>
      </c>
      <c r="BG20" s="42" t="s">
        <v>489</v>
      </c>
      <c r="BH20" s="42" t="s">
        <v>161</v>
      </c>
      <c r="BI20" s="42" t="s">
        <v>231</v>
      </c>
      <c r="BJ20" s="42" t="s">
        <v>296</v>
      </c>
      <c r="BK20" s="42" t="s">
        <v>164</v>
      </c>
      <c r="BL20" s="42" t="s">
        <v>165</v>
      </c>
      <c r="BM20" s="43" t="s">
        <v>1865</v>
      </c>
      <c r="BN20" s="42" t="s">
        <v>490</v>
      </c>
      <c r="BO20" s="42" t="s">
        <v>167</v>
      </c>
      <c r="BP20" s="46">
        <v>0</v>
      </c>
      <c r="BQ20" s="46">
        <v>0</v>
      </c>
      <c r="BR20" s="42"/>
      <c r="BS20" s="42" t="s">
        <v>168</v>
      </c>
      <c r="BT20" s="42" t="s">
        <v>169</v>
      </c>
      <c r="BU20" s="42" t="s">
        <v>170</v>
      </c>
      <c r="BV20" s="42"/>
    </row>
    <row r="21" spans="1:74" ht="78" customHeight="1">
      <c r="A21" s="47" t="s">
        <v>43</v>
      </c>
      <c r="B21" s="48" t="s">
        <v>140</v>
      </c>
      <c r="C21" s="48" t="s">
        <v>140</v>
      </c>
      <c r="D21" s="48" t="s">
        <v>237</v>
      </c>
      <c r="E21" s="48" t="s">
        <v>172</v>
      </c>
      <c r="F21" s="15">
        <v>96</v>
      </c>
      <c r="G21" s="15">
        <v>99</v>
      </c>
      <c r="H21" s="15">
        <v>97</v>
      </c>
      <c r="I21" s="48" t="s">
        <v>143</v>
      </c>
      <c r="J21" s="48" t="s">
        <v>238</v>
      </c>
      <c r="K21" s="48" t="s">
        <v>145</v>
      </c>
      <c r="L21" s="48" t="s">
        <v>195</v>
      </c>
      <c r="M21" s="48" t="s">
        <v>147</v>
      </c>
      <c r="N21" s="48" t="s">
        <v>148</v>
      </c>
      <c r="O21" s="48" t="s">
        <v>239</v>
      </c>
      <c r="P21" s="48" t="s">
        <v>150</v>
      </c>
      <c r="Q21" s="48" t="s">
        <v>151</v>
      </c>
      <c r="R21" s="48" t="s">
        <v>140</v>
      </c>
      <c r="S21" s="48">
        <v>1</v>
      </c>
      <c r="T21" s="48">
        <v>1</v>
      </c>
      <c r="U21" s="49" t="s">
        <v>2403</v>
      </c>
      <c r="V21" s="48" t="s">
        <v>240</v>
      </c>
      <c r="W21" s="49" t="s">
        <v>1866</v>
      </c>
      <c r="X21" s="48" t="s">
        <v>241</v>
      </c>
      <c r="Y21" s="48" t="s">
        <v>154</v>
      </c>
      <c r="Z21" s="48" t="s">
        <v>154</v>
      </c>
      <c r="AA21" s="48" t="s">
        <v>242</v>
      </c>
      <c r="AB21" s="50">
        <v>1.1521739130434785</v>
      </c>
      <c r="AC21" s="48">
        <v>2026</v>
      </c>
      <c r="AD21" s="51">
        <v>380</v>
      </c>
      <c r="AE21" s="51">
        <v>380</v>
      </c>
      <c r="AF21" s="51">
        <v>400</v>
      </c>
      <c r="AG21" s="51">
        <v>355</v>
      </c>
      <c r="AH21" s="51">
        <v>340</v>
      </c>
      <c r="AI21" s="51">
        <f t="shared" si="0"/>
        <v>371</v>
      </c>
      <c r="AJ21" s="51">
        <f t="shared" si="1"/>
        <v>23.558437978779494</v>
      </c>
      <c r="AK21" s="52">
        <f t="shared" si="2"/>
        <v>5</v>
      </c>
      <c r="AL21" s="48" t="s">
        <v>243</v>
      </c>
      <c r="AM21" s="48"/>
      <c r="AN21" s="48">
        <v>383</v>
      </c>
      <c r="AO21" s="48">
        <v>405</v>
      </c>
      <c r="AP21" s="48">
        <v>358</v>
      </c>
      <c r="AQ21" s="48">
        <v>344</v>
      </c>
      <c r="AR21" s="48"/>
      <c r="AS21" s="48"/>
      <c r="AT21" s="48">
        <v>419</v>
      </c>
      <c r="AU21" s="48"/>
      <c r="AV21" s="48">
        <v>400.5</v>
      </c>
      <c r="AW21" s="49" t="s">
        <v>1970</v>
      </c>
      <c r="AX21" s="48">
        <v>344</v>
      </c>
      <c r="AY21" s="48">
        <v>409.75</v>
      </c>
      <c r="AZ21" s="51"/>
      <c r="BA21" s="51"/>
      <c r="BB21" s="51"/>
      <c r="BC21" s="51"/>
      <c r="BD21" s="48" t="s">
        <v>157</v>
      </c>
      <c r="BE21" s="48" t="s">
        <v>244</v>
      </c>
      <c r="BF21" s="48" t="s">
        <v>159</v>
      </c>
      <c r="BG21" s="48" t="s">
        <v>160</v>
      </c>
      <c r="BH21" s="48" t="s">
        <v>161</v>
      </c>
      <c r="BI21" s="48" t="s">
        <v>162</v>
      </c>
      <c r="BJ21" s="48" t="s">
        <v>245</v>
      </c>
      <c r="BK21" s="48" t="s">
        <v>246</v>
      </c>
      <c r="BL21" s="48" t="s">
        <v>165</v>
      </c>
      <c r="BM21" s="49" t="s">
        <v>1865</v>
      </c>
      <c r="BN21" s="48" t="s">
        <v>247</v>
      </c>
      <c r="BO21" s="48" t="s">
        <v>167</v>
      </c>
      <c r="BP21" s="52">
        <v>0</v>
      </c>
      <c r="BQ21" s="52">
        <v>0</v>
      </c>
      <c r="BR21" s="48"/>
      <c r="BS21" s="48" t="s">
        <v>168</v>
      </c>
      <c r="BT21" s="48" t="s">
        <v>169</v>
      </c>
      <c r="BU21" s="48" t="s">
        <v>170</v>
      </c>
      <c r="BV21" s="48"/>
    </row>
    <row r="22" spans="1:74" ht="78" customHeight="1">
      <c r="A22" s="47" t="s">
        <v>57</v>
      </c>
      <c r="B22" s="48" t="s">
        <v>140</v>
      </c>
      <c r="C22" s="48" t="s">
        <v>140</v>
      </c>
      <c r="D22" s="48" t="s">
        <v>290</v>
      </c>
      <c r="E22" s="48" t="s">
        <v>172</v>
      </c>
      <c r="F22" s="15">
        <v>93</v>
      </c>
      <c r="G22" s="15">
        <v>92</v>
      </c>
      <c r="H22" s="15">
        <v>95</v>
      </c>
      <c r="I22" s="48" t="s">
        <v>275</v>
      </c>
      <c r="J22" s="48" t="s">
        <v>291</v>
      </c>
      <c r="K22" s="48" t="s">
        <v>145</v>
      </c>
      <c r="L22" s="48" t="s">
        <v>195</v>
      </c>
      <c r="M22" s="48" t="s">
        <v>147</v>
      </c>
      <c r="N22" s="48" t="s">
        <v>148</v>
      </c>
      <c r="O22" s="48" t="s">
        <v>149</v>
      </c>
      <c r="P22" s="48" t="s">
        <v>150</v>
      </c>
      <c r="Q22" s="48" t="s">
        <v>151</v>
      </c>
      <c r="R22" s="48" t="s">
        <v>140</v>
      </c>
      <c r="S22" s="48">
        <v>1</v>
      </c>
      <c r="T22" s="48">
        <v>1</v>
      </c>
      <c r="U22" s="49" t="s">
        <v>2404</v>
      </c>
      <c r="V22" s="48" t="s">
        <v>240</v>
      </c>
      <c r="W22" s="49" t="s">
        <v>1871</v>
      </c>
      <c r="X22" s="49" t="s">
        <v>1872</v>
      </c>
      <c r="Y22" s="48" t="s">
        <v>41</v>
      </c>
      <c r="Z22" s="48" t="s">
        <v>41</v>
      </c>
      <c r="AA22" s="49" t="s">
        <v>1869</v>
      </c>
      <c r="AB22" s="50">
        <v>1.2692307692307692</v>
      </c>
      <c r="AC22" s="48">
        <v>2026</v>
      </c>
      <c r="AD22" s="51">
        <v>360</v>
      </c>
      <c r="AE22" s="51">
        <v>360</v>
      </c>
      <c r="AF22" s="51">
        <v>350</v>
      </c>
      <c r="AG22" s="51">
        <v>330</v>
      </c>
      <c r="AH22" s="51">
        <v>340</v>
      </c>
      <c r="AI22" s="51">
        <f t="shared" si="0"/>
        <v>348</v>
      </c>
      <c r="AJ22" s="51">
        <f t="shared" si="1"/>
        <v>13.038404810405298</v>
      </c>
      <c r="AK22" s="52">
        <f t="shared" si="2"/>
        <v>5</v>
      </c>
      <c r="AL22" s="48" t="s">
        <v>261</v>
      </c>
      <c r="AM22" s="48">
        <v>385</v>
      </c>
      <c r="AN22" s="48">
        <v>386</v>
      </c>
      <c r="AO22" s="48">
        <v>392</v>
      </c>
      <c r="AP22" s="48">
        <v>352</v>
      </c>
      <c r="AQ22" s="48">
        <v>371</v>
      </c>
      <c r="AR22" s="48"/>
      <c r="AS22" s="48"/>
      <c r="AT22" s="48">
        <v>401</v>
      </c>
      <c r="AU22" s="48">
        <v>376</v>
      </c>
      <c r="AV22" s="48">
        <v>403</v>
      </c>
      <c r="AW22" s="49" t="s">
        <v>1971</v>
      </c>
      <c r="AX22" s="48">
        <v>352</v>
      </c>
      <c r="AY22" s="48">
        <v>401</v>
      </c>
      <c r="AZ22" s="51"/>
      <c r="BA22" s="51"/>
      <c r="BB22" s="51"/>
      <c r="BC22" s="51"/>
      <c r="BD22" s="48" t="s">
        <v>157</v>
      </c>
      <c r="BE22" s="48" t="s">
        <v>292</v>
      </c>
      <c r="BF22" s="48" t="s">
        <v>293</v>
      </c>
      <c r="BG22" s="48" t="s">
        <v>294</v>
      </c>
      <c r="BH22" s="48" t="s">
        <v>161</v>
      </c>
      <c r="BI22" s="48" t="s">
        <v>295</v>
      </c>
      <c r="BJ22" s="48" t="s">
        <v>296</v>
      </c>
      <c r="BK22" s="48" t="s">
        <v>164</v>
      </c>
      <c r="BL22" s="48" t="s">
        <v>165</v>
      </c>
      <c r="BM22" s="49" t="s">
        <v>1865</v>
      </c>
      <c r="BN22" s="48" t="s">
        <v>297</v>
      </c>
      <c r="BO22" s="48" t="s">
        <v>167</v>
      </c>
      <c r="BP22" s="52">
        <v>0</v>
      </c>
      <c r="BQ22" s="52">
        <v>0</v>
      </c>
      <c r="BR22" s="48"/>
      <c r="BS22" s="48" t="s">
        <v>168</v>
      </c>
      <c r="BT22" s="48" t="s">
        <v>169</v>
      </c>
      <c r="BU22" s="48" t="s">
        <v>170</v>
      </c>
      <c r="BV22" s="48"/>
    </row>
    <row r="23" spans="1:74" ht="78" customHeight="1">
      <c r="A23" s="65" t="s">
        <v>542</v>
      </c>
      <c r="B23" s="66" t="s">
        <v>248</v>
      </c>
      <c r="C23" s="66" t="s">
        <v>140</v>
      </c>
      <c r="D23" s="66" t="s">
        <v>209</v>
      </c>
      <c r="E23" s="66" t="s">
        <v>424</v>
      </c>
      <c r="F23" s="15">
        <v>78</v>
      </c>
      <c r="G23" s="15">
        <v>78</v>
      </c>
      <c r="H23" s="15">
        <v>78</v>
      </c>
      <c r="I23" s="66" t="s">
        <v>520</v>
      </c>
      <c r="J23" s="66" t="s">
        <v>543</v>
      </c>
      <c r="K23" s="66" t="s">
        <v>145</v>
      </c>
      <c r="L23" s="66" t="s">
        <v>146</v>
      </c>
      <c r="M23" s="66" t="s">
        <v>147</v>
      </c>
      <c r="N23" s="66" t="s">
        <v>148</v>
      </c>
      <c r="O23" s="66" t="s">
        <v>544</v>
      </c>
      <c r="P23" s="66" t="s">
        <v>545</v>
      </c>
      <c r="Q23" s="66" t="s">
        <v>546</v>
      </c>
      <c r="R23" s="66" t="s">
        <v>248</v>
      </c>
      <c r="S23" s="66">
        <v>0</v>
      </c>
      <c r="T23" s="66">
        <v>0</v>
      </c>
      <c r="U23" s="66" t="s">
        <v>333</v>
      </c>
      <c r="V23" s="66" t="s">
        <v>168</v>
      </c>
      <c r="W23" s="66" t="s">
        <v>334</v>
      </c>
      <c r="X23" s="66" t="s">
        <v>547</v>
      </c>
      <c r="Y23" s="66" t="s">
        <v>548</v>
      </c>
      <c r="Z23" s="66" t="s">
        <v>41</v>
      </c>
      <c r="AA23" s="66" t="s">
        <v>549</v>
      </c>
      <c r="AB23" s="67"/>
      <c r="AC23" s="66"/>
      <c r="AD23" s="68"/>
      <c r="AE23" s="68">
        <v>346</v>
      </c>
      <c r="AF23" s="68">
        <v>338</v>
      </c>
      <c r="AG23" s="68">
        <v>323</v>
      </c>
      <c r="AH23" s="68">
        <v>332</v>
      </c>
      <c r="AI23" s="68">
        <f t="shared" si="0"/>
        <v>334.75</v>
      </c>
      <c r="AJ23" s="68">
        <f t="shared" si="1"/>
        <v>9.7082439194737997</v>
      </c>
      <c r="AK23" s="69">
        <f t="shared" si="2"/>
        <v>4</v>
      </c>
      <c r="AL23" s="66" t="s">
        <v>550</v>
      </c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70" t="s">
        <v>1977</v>
      </c>
      <c r="AX23" s="66"/>
      <c r="AY23" s="66"/>
      <c r="AZ23" s="68"/>
      <c r="BA23" s="68"/>
      <c r="BB23" s="68"/>
      <c r="BC23" s="68"/>
      <c r="BD23" s="66" t="s">
        <v>157</v>
      </c>
      <c r="BE23" s="66" t="s">
        <v>551</v>
      </c>
      <c r="BF23" s="66" t="s">
        <v>229</v>
      </c>
      <c r="BG23" s="66" t="s">
        <v>230</v>
      </c>
      <c r="BH23" s="66" t="s">
        <v>161</v>
      </c>
      <c r="BI23" s="66" t="s">
        <v>231</v>
      </c>
      <c r="BJ23" s="66" t="s">
        <v>552</v>
      </c>
      <c r="BK23" s="66" t="s">
        <v>246</v>
      </c>
      <c r="BL23" s="66" t="s">
        <v>165</v>
      </c>
      <c r="BM23" s="66" t="s">
        <v>27</v>
      </c>
      <c r="BN23" s="66" t="s">
        <v>363</v>
      </c>
      <c r="BO23" s="66" t="s">
        <v>167</v>
      </c>
      <c r="BP23" s="69">
        <v>0</v>
      </c>
      <c r="BQ23" s="69">
        <v>0</v>
      </c>
      <c r="BR23" s="66"/>
      <c r="BS23" s="66" t="s">
        <v>168</v>
      </c>
      <c r="BT23" s="66" t="s">
        <v>553</v>
      </c>
      <c r="BU23" s="66" t="s">
        <v>554</v>
      </c>
      <c r="BV23" s="66" t="s">
        <v>555</v>
      </c>
    </row>
    <row r="24" spans="1:74" ht="78" customHeight="1">
      <c r="A24" s="35" t="s">
        <v>53</v>
      </c>
      <c r="B24" s="36" t="s">
        <v>140</v>
      </c>
      <c r="C24" s="36" t="s">
        <v>140</v>
      </c>
      <c r="D24" s="36" t="s">
        <v>283</v>
      </c>
      <c r="E24" s="36" t="s">
        <v>172</v>
      </c>
      <c r="F24" s="15">
        <v>94</v>
      </c>
      <c r="G24" s="15">
        <v>95</v>
      </c>
      <c r="H24" s="15">
        <v>95</v>
      </c>
      <c r="I24" s="36" t="s">
        <v>275</v>
      </c>
      <c r="J24" s="36" t="s">
        <v>284</v>
      </c>
      <c r="K24" s="36" t="s">
        <v>145</v>
      </c>
      <c r="L24" s="36" t="s">
        <v>146</v>
      </c>
      <c r="M24" s="36" t="s">
        <v>147</v>
      </c>
      <c r="N24" s="36" t="s">
        <v>148</v>
      </c>
      <c r="O24" s="36" t="s">
        <v>149</v>
      </c>
      <c r="P24" s="36" t="s">
        <v>150</v>
      </c>
      <c r="Q24" s="36" t="s">
        <v>151</v>
      </c>
      <c r="R24" s="36" t="s">
        <v>140</v>
      </c>
      <c r="S24" s="36">
        <v>1</v>
      </c>
      <c r="T24" s="36">
        <v>1</v>
      </c>
      <c r="U24" s="37" t="s">
        <v>2405</v>
      </c>
      <c r="V24" s="36" t="s">
        <v>152</v>
      </c>
      <c r="W24" s="37" t="s">
        <v>1878</v>
      </c>
      <c r="X24" s="37" t="s">
        <v>1879</v>
      </c>
      <c r="Y24" s="36" t="s">
        <v>41</v>
      </c>
      <c r="Z24" s="36" t="s">
        <v>41</v>
      </c>
      <c r="AA24" s="37" t="s">
        <v>1869</v>
      </c>
      <c r="AB24" s="38">
        <v>1.4090909090909092</v>
      </c>
      <c r="AC24" s="36">
        <v>2026</v>
      </c>
      <c r="AD24" s="39">
        <v>370</v>
      </c>
      <c r="AE24" s="39">
        <v>380</v>
      </c>
      <c r="AF24" s="39">
        <v>390</v>
      </c>
      <c r="AG24" s="39">
        <v>330</v>
      </c>
      <c r="AH24" s="39">
        <v>330</v>
      </c>
      <c r="AI24" s="39">
        <f t="shared" si="0"/>
        <v>360</v>
      </c>
      <c r="AJ24" s="39">
        <f t="shared" si="1"/>
        <v>28.284271247461902</v>
      </c>
      <c r="AK24" s="40">
        <f t="shared" si="2"/>
        <v>5</v>
      </c>
      <c r="AL24" s="36" t="s">
        <v>261</v>
      </c>
      <c r="AM24" s="36"/>
      <c r="AN24" s="36">
        <v>380</v>
      </c>
      <c r="AO24" s="36">
        <v>396</v>
      </c>
      <c r="AP24" s="36">
        <v>331</v>
      </c>
      <c r="AQ24" s="36">
        <v>367</v>
      </c>
      <c r="AR24" s="36"/>
      <c r="AS24" s="36"/>
      <c r="AT24" s="36"/>
      <c r="AU24" s="36">
        <v>375.5</v>
      </c>
      <c r="AV24" s="36">
        <v>406</v>
      </c>
      <c r="AW24" s="37" t="s">
        <v>1975</v>
      </c>
      <c r="AX24" s="36">
        <v>331</v>
      </c>
      <c r="AY24" s="36">
        <v>390.75</v>
      </c>
      <c r="AZ24" s="39"/>
      <c r="BA24" s="39"/>
      <c r="BB24" s="39"/>
      <c r="BC24" s="39"/>
      <c r="BD24" s="36" t="s">
        <v>157</v>
      </c>
      <c r="BE24" s="36" t="s">
        <v>285</v>
      </c>
      <c r="BF24" s="36" t="s">
        <v>286</v>
      </c>
      <c r="BG24" s="36" t="s">
        <v>287</v>
      </c>
      <c r="BH24" s="36" t="s">
        <v>161</v>
      </c>
      <c r="BI24" s="36" t="s">
        <v>162</v>
      </c>
      <c r="BJ24" s="36" t="s">
        <v>288</v>
      </c>
      <c r="BK24" s="36" t="s">
        <v>164</v>
      </c>
      <c r="BL24" s="36" t="s">
        <v>165</v>
      </c>
      <c r="BM24" s="37" t="s">
        <v>1865</v>
      </c>
      <c r="BN24" s="36" t="s">
        <v>289</v>
      </c>
      <c r="BO24" s="36" t="s">
        <v>167</v>
      </c>
      <c r="BP24" s="40">
        <v>0</v>
      </c>
      <c r="BQ24" s="40">
        <v>0</v>
      </c>
      <c r="BR24" s="36"/>
      <c r="BS24" s="36" t="s">
        <v>168</v>
      </c>
      <c r="BT24" s="36" t="s">
        <v>169</v>
      </c>
      <c r="BU24" s="36" t="s">
        <v>170</v>
      </c>
      <c r="BV24" s="36"/>
    </row>
    <row r="25" spans="1:74" ht="78" customHeight="1">
      <c r="A25" s="41" t="s">
        <v>56</v>
      </c>
      <c r="B25" s="42" t="s">
        <v>140</v>
      </c>
      <c r="C25" s="42" t="s">
        <v>140</v>
      </c>
      <c r="D25" s="42" t="s">
        <v>310</v>
      </c>
      <c r="E25" s="42" t="s">
        <v>172</v>
      </c>
      <c r="F25" s="15">
        <v>92</v>
      </c>
      <c r="G25" s="15">
        <v>94</v>
      </c>
      <c r="H25" s="15">
        <v>92</v>
      </c>
      <c r="I25" s="42" t="s">
        <v>275</v>
      </c>
      <c r="J25" s="42" t="s">
        <v>311</v>
      </c>
      <c r="K25" s="42" t="s">
        <v>145</v>
      </c>
      <c r="L25" s="42" t="s">
        <v>312</v>
      </c>
      <c r="M25" s="42" t="s">
        <v>313</v>
      </c>
      <c r="N25" s="42" t="s">
        <v>148</v>
      </c>
      <c r="O25" s="42" t="s">
        <v>314</v>
      </c>
      <c r="P25" s="42" t="s">
        <v>150</v>
      </c>
      <c r="Q25" s="42" t="s">
        <v>151</v>
      </c>
      <c r="R25" s="42" t="s">
        <v>140</v>
      </c>
      <c r="S25" s="42">
        <v>1</v>
      </c>
      <c r="T25" s="42">
        <v>1</v>
      </c>
      <c r="U25" s="43" t="s">
        <v>2406</v>
      </c>
      <c r="V25" s="42" t="s">
        <v>240</v>
      </c>
      <c r="W25" s="43" t="s">
        <v>1883</v>
      </c>
      <c r="X25" s="42" t="s">
        <v>315</v>
      </c>
      <c r="Y25" s="42" t="s">
        <v>154</v>
      </c>
      <c r="Z25" s="42" t="s">
        <v>154</v>
      </c>
      <c r="AA25" s="42" t="s">
        <v>253</v>
      </c>
      <c r="AB25" s="44">
        <v>1.24</v>
      </c>
      <c r="AC25" s="42">
        <v>2026</v>
      </c>
      <c r="AD25" s="45">
        <v>390</v>
      </c>
      <c r="AE25" s="45">
        <v>360</v>
      </c>
      <c r="AF25" s="45">
        <v>360</v>
      </c>
      <c r="AG25" s="45">
        <v>350</v>
      </c>
      <c r="AH25" s="45">
        <v>330</v>
      </c>
      <c r="AI25" s="45">
        <f t="shared" si="0"/>
        <v>358</v>
      </c>
      <c r="AJ25" s="45">
        <f t="shared" si="1"/>
        <v>21.679483388678801</v>
      </c>
      <c r="AK25" s="46">
        <f t="shared" si="2"/>
        <v>5</v>
      </c>
      <c r="AL25" s="42" t="s">
        <v>261</v>
      </c>
      <c r="AM25" s="42"/>
      <c r="AN25" s="42">
        <v>362</v>
      </c>
      <c r="AO25" s="42">
        <v>367</v>
      </c>
      <c r="AP25" s="42">
        <v>366</v>
      </c>
      <c r="AQ25" s="42">
        <v>400</v>
      </c>
      <c r="AR25" s="42"/>
      <c r="AS25" s="42"/>
      <c r="AT25" s="42"/>
      <c r="AU25" s="42"/>
      <c r="AV25" s="42">
        <v>419</v>
      </c>
      <c r="AW25" s="43" t="s">
        <v>1972</v>
      </c>
      <c r="AX25" s="42">
        <v>362</v>
      </c>
      <c r="AY25" s="42">
        <v>419</v>
      </c>
      <c r="AZ25" s="45"/>
      <c r="BA25" s="45"/>
      <c r="BB25" s="45"/>
      <c r="BC25" s="45"/>
      <c r="BD25" s="42" t="s">
        <v>157</v>
      </c>
      <c r="BE25" s="42" t="s">
        <v>316</v>
      </c>
      <c r="BF25" s="42" t="s">
        <v>317</v>
      </c>
      <c r="BG25" s="42" t="s">
        <v>318</v>
      </c>
      <c r="BH25" s="42" t="s">
        <v>161</v>
      </c>
      <c r="BI25" s="42" t="s">
        <v>231</v>
      </c>
      <c r="BJ25" s="42" t="s">
        <v>319</v>
      </c>
      <c r="BK25" s="42" t="s">
        <v>164</v>
      </c>
      <c r="BL25" s="42" t="s">
        <v>165</v>
      </c>
      <c r="BM25" s="43" t="s">
        <v>1865</v>
      </c>
      <c r="BN25" s="42" t="s">
        <v>202</v>
      </c>
      <c r="BO25" s="42" t="s">
        <v>167</v>
      </c>
      <c r="BP25" s="46">
        <v>0</v>
      </c>
      <c r="BQ25" s="46">
        <v>0</v>
      </c>
      <c r="BR25" s="42"/>
      <c r="BS25" s="42" t="s">
        <v>168</v>
      </c>
      <c r="BT25" s="42" t="s">
        <v>169</v>
      </c>
      <c r="BU25" s="42" t="s">
        <v>170</v>
      </c>
      <c r="BV25" s="42"/>
    </row>
    <row r="26" spans="1:74" ht="78" hidden="1" customHeight="1">
      <c r="A26" s="53" t="s">
        <v>370</v>
      </c>
      <c r="B26" s="54" t="s">
        <v>140</v>
      </c>
      <c r="C26" s="54" t="s">
        <v>140</v>
      </c>
      <c r="D26" s="54" t="s">
        <v>371</v>
      </c>
      <c r="E26" s="54" t="s">
        <v>172</v>
      </c>
      <c r="F26" s="15">
        <v>89</v>
      </c>
      <c r="G26" s="15">
        <v>89</v>
      </c>
      <c r="H26" s="15">
        <v>89</v>
      </c>
      <c r="I26" s="54" t="s">
        <v>275</v>
      </c>
      <c r="J26" s="54" t="s">
        <v>372</v>
      </c>
      <c r="K26" s="54" t="s">
        <v>145</v>
      </c>
      <c r="L26" s="54" t="s">
        <v>146</v>
      </c>
      <c r="M26" s="54" t="s">
        <v>373</v>
      </c>
      <c r="N26" s="54" t="s">
        <v>148</v>
      </c>
      <c r="O26" s="54" t="s">
        <v>374</v>
      </c>
      <c r="P26" s="54" t="s">
        <v>150</v>
      </c>
      <c r="Q26" s="54" t="s">
        <v>151</v>
      </c>
      <c r="R26" s="54" t="s">
        <v>140</v>
      </c>
      <c r="S26" s="54">
        <v>1</v>
      </c>
      <c r="T26" s="54">
        <v>1</v>
      </c>
      <c r="U26" s="55" t="s">
        <v>2407</v>
      </c>
      <c r="V26" s="54" t="s">
        <v>152</v>
      </c>
      <c r="W26" s="55" t="s">
        <v>1894</v>
      </c>
      <c r="X26" s="55" t="s">
        <v>1895</v>
      </c>
      <c r="Y26" s="54" t="s">
        <v>41</v>
      </c>
      <c r="Z26" s="54" t="s">
        <v>41</v>
      </c>
      <c r="AA26" s="55" t="s">
        <v>1869</v>
      </c>
      <c r="AB26" s="56">
        <v>1.1538461538461535</v>
      </c>
      <c r="AC26" s="54">
        <v>2026</v>
      </c>
      <c r="AD26" s="57">
        <v>360</v>
      </c>
      <c r="AE26" s="57">
        <v>370</v>
      </c>
      <c r="AF26" s="57">
        <v>370</v>
      </c>
      <c r="AG26" s="57">
        <v>335</v>
      </c>
      <c r="AH26" s="57">
        <v>325</v>
      </c>
      <c r="AI26" s="57">
        <f t="shared" si="0"/>
        <v>352</v>
      </c>
      <c r="AJ26" s="57">
        <f t="shared" si="1"/>
        <v>20.796634343085422</v>
      </c>
      <c r="AK26" s="58">
        <f t="shared" si="2"/>
        <v>5</v>
      </c>
      <c r="AL26" s="54" t="s">
        <v>261</v>
      </c>
      <c r="AM26" s="54"/>
      <c r="AN26" s="54">
        <v>382</v>
      </c>
      <c r="AO26" s="54">
        <v>372</v>
      </c>
      <c r="AP26" s="54">
        <v>347</v>
      </c>
      <c r="AQ26" s="54">
        <v>331</v>
      </c>
      <c r="AR26" s="54"/>
      <c r="AS26" s="54"/>
      <c r="AT26" s="54">
        <v>401</v>
      </c>
      <c r="AU26" s="54"/>
      <c r="AV26" s="54">
        <v>371</v>
      </c>
      <c r="AW26" s="55" t="s">
        <v>1970</v>
      </c>
      <c r="AX26" s="54">
        <v>331</v>
      </c>
      <c r="AY26" s="54">
        <v>386</v>
      </c>
      <c r="AZ26" s="57"/>
      <c r="BA26" s="57"/>
      <c r="BB26" s="57"/>
      <c r="BC26" s="57"/>
      <c r="BD26" s="54" t="s">
        <v>157</v>
      </c>
      <c r="BE26" s="54" t="s">
        <v>375</v>
      </c>
      <c r="BF26" s="54" t="s">
        <v>376</v>
      </c>
      <c r="BG26" s="54" t="s">
        <v>377</v>
      </c>
      <c r="BH26" s="54" t="s">
        <v>161</v>
      </c>
      <c r="BI26" s="54" t="s">
        <v>378</v>
      </c>
      <c r="BJ26" s="54" t="s">
        <v>379</v>
      </c>
      <c r="BK26" s="54" t="s">
        <v>164</v>
      </c>
      <c r="BL26" s="54" t="s">
        <v>165</v>
      </c>
      <c r="BM26" s="55" t="s">
        <v>1865</v>
      </c>
      <c r="BN26" s="54" t="s">
        <v>380</v>
      </c>
      <c r="BO26" s="54" t="s">
        <v>381</v>
      </c>
      <c r="BP26" s="58">
        <v>1</v>
      </c>
      <c r="BQ26" s="58">
        <v>1</v>
      </c>
      <c r="BR26" s="54" t="s">
        <v>382</v>
      </c>
      <c r="BS26" s="54" t="s">
        <v>383</v>
      </c>
      <c r="BT26" s="54" t="s">
        <v>384</v>
      </c>
      <c r="BU26" s="54" t="s">
        <v>385</v>
      </c>
      <c r="BV26" s="54" t="s">
        <v>386</v>
      </c>
    </row>
    <row r="27" spans="1:74" ht="78" customHeight="1">
      <c r="A27" s="35" t="s">
        <v>52</v>
      </c>
      <c r="B27" s="36" t="s">
        <v>140</v>
      </c>
      <c r="C27" s="36" t="s">
        <v>140</v>
      </c>
      <c r="D27" s="36" t="s">
        <v>259</v>
      </c>
      <c r="E27" s="36" t="s">
        <v>172</v>
      </c>
      <c r="F27" s="15">
        <v>95</v>
      </c>
      <c r="G27" s="15">
        <v>95</v>
      </c>
      <c r="H27" s="15">
        <v>95</v>
      </c>
      <c r="I27" s="36" t="s">
        <v>143</v>
      </c>
      <c r="J27" s="36" t="s">
        <v>260</v>
      </c>
      <c r="K27" s="36" t="s">
        <v>145</v>
      </c>
      <c r="L27" s="36" t="s">
        <v>146</v>
      </c>
      <c r="M27" s="36" t="s">
        <v>147</v>
      </c>
      <c r="N27" s="36" t="s">
        <v>148</v>
      </c>
      <c r="O27" s="36" t="s">
        <v>149</v>
      </c>
      <c r="P27" s="36" t="s">
        <v>150</v>
      </c>
      <c r="Q27" s="36" t="s">
        <v>151</v>
      </c>
      <c r="R27" s="36" t="s">
        <v>140</v>
      </c>
      <c r="S27" s="36">
        <v>1</v>
      </c>
      <c r="T27" s="36">
        <v>1</v>
      </c>
      <c r="U27" s="37" t="s">
        <v>2408</v>
      </c>
      <c r="V27" s="36" t="s">
        <v>240</v>
      </c>
      <c r="W27" s="37" t="s">
        <v>1867</v>
      </c>
      <c r="X27" s="37" t="s">
        <v>1868</v>
      </c>
      <c r="Y27" s="36" t="s">
        <v>41</v>
      </c>
      <c r="Z27" s="36" t="s">
        <v>41</v>
      </c>
      <c r="AA27" s="37" t="s">
        <v>1869</v>
      </c>
      <c r="AB27" s="38">
        <v>1</v>
      </c>
      <c r="AC27" s="36">
        <v>2026</v>
      </c>
      <c r="AD27" s="39">
        <v>415</v>
      </c>
      <c r="AE27" s="39">
        <v>370</v>
      </c>
      <c r="AF27" s="39">
        <v>385</v>
      </c>
      <c r="AG27" s="39">
        <v>380</v>
      </c>
      <c r="AH27" s="39">
        <v>325</v>
      </c>
      <c r="AI27" s="39">
        <f t="shared" si="0"/>
        <v>375</v>
      </c>
      <c r="AJ27" s="39">
        <f t="shared" si="1"/>
        <v>32.596012026013241</v>
      </c>
      <c r="AK27" s="40">
        <f t="shared" si="2"/>
        <v>5</v>
      </c>
      <c r="AL27" s="36" t="s">
        <v>261</v>
      </c>
      <c r="AM27" s="36"/>
      <c r="AN27" s="36">
        <v>371</v>
      </c>
      <c r="AO27" s="36">
        <v>386</v>
      </c>
      <c r="AP27" s="36">
        <v>382</v>
      </c>
      <c r="AQ27" s="36">
        <v>333</v>
      </c>
      <c r="AR27" s="36">
        <v>428</v>
      </c>
      <c r="AS27" s="36"/>
      <c r="AT27" s="36">
        <v>399</v>
      </c>
      <c r="AU27" s="36"/>
      <c r="AV27" s="36">
        <v>382</v>
      </c>
      <c r="AW27" s="37" t="s">
        <v>1970</v>
      </c>
      <c r="AX27" s="36">
        <v>346</v>
      </c>
      <c r="AY27" s="36">
        <v>390.5</v>
      </c>
      <c r="AZ27" s="39"/>
      <c r="BA27" s="39"/>
      <c r="BB27" s="39"/>
      <c r="BC27" s="39"/>
      <c r="BD27" s="36" t="s">
        <v>157</v>
      </c>
      <c r="BE27" s="36" t="s">
        <v>262</v>
      </c>
      <c r="BF27" s="36" t="s">
        <v>263</v>
      </c>
      <c r="BG27" s="36" t="s">
        <v>264</v>
      </c>
      <c r="BH27" s="36" t="s">
        <v>161</v>
      </c>
      <c r="BI27" s="36" t="s">
        <v>162</v>
      </c>
      <c r="BJ27" s="36" t="s">
        <v>265</v>
      </c>
      <c r="BK27" s="36" t="s">
        <v>164</v>
      </c>
      <c r="BL27" s="36" t="s">
        <v>165</v>
      </c>
      <c r="BM27" s="37" t="s">
        <v>1865</v>
      </c>
      <c r="BN27" s="36" t="s">
        <v>266</v>
      </c>
      <c r="BO27" s="36" t="s">
        <v>167</v>
      </c>
      <c r="BP27" s="40">
        <v>0</v>
      </c>
      <c r="BQ27" s="40">
        <v>0</v>
      </c>
      <c r="BR27" s="36"/>
      <c r="BS27" s="36" t="s">
        <v>168</v>
      </c>
      <c r="BT27" s="36" t="s">
        <v>169</v>
      </c>
      <c r="BU27" s="36" t="s">
        <v>170</v>
      </c>
      <c r="BV27" s="36"/>
    </row>
    <row r="28" spans="1:74" ht="78" customHeight="1">
      <c r="A28" s="41" t="s">
        <v>689</v>
      </c>
      <c r="B28" s="42" t="s">
        <v>248</v>
      </c>
      <c r="C28" s="42" t="s">
        <v>140</v>
      </c>
      <c r="D28" s="42" t="s">
        <v>209</v>
      </c>
      <c r="E28" s="42" t="s">
        <v>172</v>
      </c>
      <c r="F28" s="15">
        <v>68</v>
      </c>
      <c r="G28" s="15">
        <v>68</v>
      </c>
      <c r="H28" s="15">
        <v>68</v>
      </c>
      <c r="I28" s="42" t="s">
        <v>690</v>
      </c>
      <c r="J28" s="42" t="s">
        <v>691</v>
      </c>
      <c r="K28" s="42" t="s">
        <v>145</v>
      </c>
      <c r="L28" s="42" t="s">
        <v>146</v>
      </c>
      <c r="M28" s="42" t="s">
        <v>147</v>
      </c>
      <c r="N28" s="42" t="s">
        <v>148</v>
      </c>
      <c r="O28" s="42" t="s">
        <v>692</v>
      </c>
      <c r="P28" s="42" t="s">
        <v>150</v>
      </c>
      <c r="Q28" s="42" t="s">
        <v>151</v>
      </c>
      <c r="R28" s="42" t="s">
        <v>248</v>
      </c>
      <c r="S28" s="42">
        <v>0</v>
      </c>
      <c r="T28" s="42">
        <v>0</v>
      </c>
      <c r="U28" s="43" t="s">
        <v>2409</v>
      </c>
      <c r="V28" s="42" t="s">
        <v>168</v>
      </c>
      <c r="W28" s="43" t="s">
        <v>1881</v>
      </c>
      <c r="X28" s="43" t="s">
        <v>1962</v>
      </c>
      <c r="Y28" s="42" t="s">
        <v>41</v>
      </c>
      <c r="Z28" s="42" t="s">
        <v>41</v>
      </c>
      <c r="AA28" s="43" t="s">
        <v>1869</v>
      </c>
      <c r="AB28" s="44">
        <v>1</v>
      </c>
      <c r="AC28" s="42">
        <v>2026</v>
      </c>
      <c r="AD28" s="45"/>
      <c r="AE28" s="45"/>
      <c r="AF28" s="45">
        <v>338</v>
      </c>
      <c r="AG28" s="45">
        <v>323</v>
      </c>
      <c r="AH28" s="45">
        <v>325</v>
      </c>
      <c r="AI28" s="45">
        <f t="shared" si="0"/>
        <v>328.66666666666669</v>
      </c>
      <c r="AJ28" s="45">
        <f t="shared" si="1"/>
        <v>8.144527815247077</v>
      </c>
      <c r="AK28" s="46">
        <f t="shared" si="2"/>
        <v>3</v>
      </c>
      <c r="AL28" s="42" t="s">
        <v>693</v>
      </c>
      <c r="AM28" s="42"/>
      <c r="AN28" s="42"/>
      <c r="AO28" s="42">
        <v>380</v>
      </c>
      <c r="AP28" s="42">
        <v>341</v>
      </c>
      <c r="AQ28" s="42">
        <v>327</v>
      </c>
      <c r="AR28" s="42"/>
      <c r="AS28" s="42"/>
      <c r="AT28" s="42">
        <v>380</v>
      </c>
      <c r="AU28" s="42">
        <v>351</v>
      </c>
      <c r="AV28" s="42">
        <v>354</v>
      </c>
      <c r="AW28" s="43" t="s">
        <v>1971</v>
      </c>
      <c r="AX28" s="42">
        <v>327</v>
      </c>
      <c r="AY28" s="42">
        <v>354</v>
      </c>
      <c r="AZ28" s="45"/>
      <c r="BA28" s="45"/>
      <c r="BB28" s="45"/>
      <c r="BC28" s="45"/>
      <c r="BD28" s="42" t="s">
        <v>157</v>
      </c>
      <c r="BE28" s="42" t="s">
        <v>694</v>
      </c>
      <c r="BF28" s="42" t="s">
        <v>695</v>
      </c>
      <c r="BG28" s="42" t="s">
        <v>696</v>
      </c>
      <c r="BH28" s="42" t="s">
        <v>161</v>
      </c>
      <c r="BI28" s="42" t="s">
        <v>231</v>
      </c>
      <c r="BJ28" s="42" t="s">
        <v>296</v>
      </c>
      <c r="BK28" s="42" t="s">
        <v>164</v>
      </c>
      <c r="BL28" s="42" t="s">
        <v>165</v>
      </c>
      <c r="BM28" s="43" t="s">
        <v>1865</v>
      </c>
      <c r="BN28" s="42" t="s">
        <v>363</v>
      </c>
      <c r="BO28" s="42" t="s">
        <v>167</v>
      </c>
      <c r="BP28" s="46">
        <v>0</v>
      </c>
      <c r="BQ28" s="46">
        <v>0</v>
      </c>
      <c r="BR28" s="42"/>
      <c r="BS28" s="42" t="s">
        <v>168</v>
      </c>
      <c r="BT28" s="42" t="s">
        <v>169</v>
      </c>
      <c r="BU28" s="42" t="s">
        <v>170</v>
      </c>
      <c r="BV28" s="42"/>
    </row>
    <row r="29" spans="1:74" ht="78" customHeight="1">
      <c r="A29" s="47" t="s">
        <v>47</v>
      </c>
      <c r="B29" s="48" t="s">
        <v>248</v>
      </c>
      <c r="C29" s="48" t="s">
        <v>140</v>
      </c>
      <c r="D29" s="48" t="s">
        <v>249</v>
      </c>
      <c r="E29" s="48" t="s">
        <v>172</v>
      </c>
      <c r="F29" s="15">
        <v>95</v>
      </c>
      <c r="G29" s="15">
        <v>98</v>
      </c>
      <c r="H29" s="15">
        <v>96</v>
      </c>
      <c r="I29" s="48" t="s">
        <v>143</v>
      </c>
      <c r="J29" s="48" t="s">
        <v>250</v>
      </c>
      <c r="K29" s="48" t="s">
        <v>145</v>
      </c>
      <c r="L29" s="48" t="s">
        <v>146</v>
      </c>
      <c r="M29" s="48" t="s">
        <v>147</v>
      </c>
      <c r="N29" s="48" t="s">
        <v>148</v>
      </c>
      <c r="O29" s="48" t="s">
        <v>149</v>
      </c>
      <c r="P29" s="48" t="s">
        <v>150</v>
      </c>
      <c r="Q29" s="48" t="s">
        <v>151</v>
      </c>
      <c r="R29" s="48" t="s">
        <v>140</v>
      </c>
      <c r="S29" s="48">
        <v>1</v>
      </c>
      <c r="T29" s="48">
        <v>1</v>
      </c>
      <c r="U29" s="49" t="s">
        <v>2410</v>
      </c>
      <c r="V29" s="48" t="s">
        <v>240</v>
      </c>
      <c r="W29" s="49" t="s">
        <v>1925</v>
      </c>
      <c r="X29" s="48" t="s">
        <v>251</v>
      </c>
      <c r="Y29" s="48" t="s">
        <v>252</v>
      </c>
      <c r="Z29" s="48" t="s">
        <v>154</v>
      </c>
      <c r="AA29" s="48" t="s">
        <v>253</v>
      </c>
      <c r="AB29" s="50">
        <v>1.2783505154639174</v>
      </c>
      <c r="AC29" s="48">
        <v>2026</v>
      </c>
      <c r="AD29" s="51">
        <v>367</v>
      </c>
      <c r="AE29" s="51">
        <v>365</v>
      </c>
      <c r="AF29" s="51">
        <v>380</v>
      </c>
      <c r="AG29" s="51">
        <v>323</v>
      </c>
      <c r="AH29" s="51">
        <v>324</v>
      </c>
      <c r="AI29" s="51">
        <f t="shared" si="0"/>
        <v>351.8</v>
      </c>
      <c r="AJ29" s="51">
        <f t="shared" si="1"/>
        <v>26.47073856166465</v>
      </c>
      <c r="AK29" s="52">
        <f t="shared" si="2"/>
        <v>5</v>
      </c>
      <c r="AL29" s="48" t="s">
        <v>254</v>
      </c>
      <c r="AM29" s="48"/>
      <c r="AN29" s="48">
        <v>364</v>
      </c>
      <c r="AO29" s="48">
        <v>339</v>
      </c>
      <c r="AP29" s="48">
        <v>324</v>
      </c>
      <c r="AQ29" s="48">
        <v>336</v>
      </c>
      <c r="AR29" s="48"/>
      <c r="AS29" s="48"/>
      <c r="AT29" s="48">
        <v>394</v>
      </c>
      <c r="AU29" s="48"/>
      <c r="AV29" s="48">
        <v>390</v>
      </c>
      <c r="AW29" s="49" t="s">
        <v>1970</v>
      </c>
      <c r="AX29" s="48">
        <v>324</v>
      </c>
      <c r="AY29" s="48">
        <v>392</v>
      </c>
      <c r="AZ29" s="51"/>
      <c r="BA29" s="51"/>
      <c r="BB29" s="51"/>
      <c r="BC29" s="51"/>
      <c r="BD29" s="48" t="s">
        <v>157</v>
      </c>
      <c r="BE29" s="48" t="s">
        <v>255</v>
      </c>
      <c r="BF29" s="48" t="s">
        <v>182</v>
      </c>
      <c r="BG29" s="48" t="s">
        <v>256</v>
      </c>
      <c r="BH29" s="48" t="s">
        <v>161</v>
      </c>
      <c r="BI29" s="48" t="s">
        <v>257</v>
      </c>
      <c r="BJ29" s="48" t="s">
        <v>200</v>
      </c>
      <c r="BK29" s="48" t="s">
        <v>164</v>
      </c>
      <c r="BL29" s="48" t="s">
        <v>258</v>
      </c>
      <c r="BM29" s="49" t="s">
        <v>1865</v>
      </c>
      <c r="BN29" s="48" t="s">
        <v>247</v>
      </c>
      <c r="BO29" s="48" t="s">
        <v>167</v>
      </c>
      <c r="BP29" s="52">
        <v>0</v>
      </c>
      <c r="BQ29" s="52">
        <v>0</v>
      </c>
      <c r="BR29" s="48"/>
      <c r="BS29" s="48" t="s">
        <v>168</v>
      </c>
      <c r="BT29" s="48" t="s">
        <v>169</v>
      </c>
      <c r="BU29" s="48" t="s">
        <v>170</v>
      </c>
      <c r="BV29" s="48"/>
    </row>
    <row r="30" spans="1:74" ht="78" customHeight="1">
      <c r="A30" s="41" t="s">
        <v>55</v>
      </c>
      <c r="B30" s="42" t="s">
        <v>248</v>
      </c>
      <c r="C30" s="42" t="s">
        <v>140</v>
      </c>
      <c r="D30" s="42" t="s">
        <v>298</v>
      </c>
      <c r="E30" s="42" t="s">
        <v>172</v>
      </c>
      <c r="F30" s="15">
        <v>93</v>
      </c>
      <c r="G30" s="15">
        <v>95</v>
      </c>
      <c r="H30" s="15">
        <v>93</v>
      </c>
      <c r="I30" s="42" t="s">
        <v>275</v>
      </c>
      <c r="J30" s="42" t="s">
        <v>299</v>
      </c>
      <c r="K30" s="42" t="s">
        <v>145</v>
      </c>
      <c r="L30" s="42" t="s">
        <v>146</v>
      </c>
      <c r="M30" s="42" t="s">
        <v>147</v>
      </c>
      <c r="N30" s="42" t="s">
        <v>148</v>
      </c>
      <c r="O30" s="42" t="s">
        <v>149</v>
      </c>
      <c r="P30" s="42" t="s">
        <v>150</v>
      </c>
      <c r="Q30" s="42" t="s">
        <v>151</v>
      </c>
      <c r="R30" s="42" t="s">
        <v>140</v>
      </c>
      <c r="S30" s="42">
        <v>1</v>
      </c>
      <c r="T30" s="42">
        <v>0</v>
      </c>
      <c r="U30" s="43" t="s">
        <v>2411</v>
      </c>
      <c r="V30" s="42" t="s">
        <v>196</v>
      </c>
      <c r="W30" s="43" t="s">
        <v>1957</v>
      </c>
      <c r="X30" s="43" t="s">
        <v>1958</v>
      </c>
      <c r="Y30" s="42" t="s">
        <v>41</v>
      </c>
      <c r="Z30" s="42" t="s">
        <v>41</v>
      </c>
      <c r="AA30" s="43" t="s">
        <v>1869</v>
      </c>
      <c r="AB30" s="44">
        <v>1.2394366197183098</v>
      </c>
      <c r="AC30" s="42">
        <v>2026</v>
      </c>
      <c r="AD30" s="45">
        <v>360</v>
      </c>
      <c r="AE30" s="45">
        <v>385</v>
      </c>
      <c r="AF30" s="45">
        <v>338</v>
      </c>
      <c r="AG30" s="45">
        <v>323</v>
      </c>
      <c r="AH30" s="45">
        <v>324</v>
      </c>
      <c r="AI30" s="45">
        <f t="shared" si="0"/>
        <v>346</v>
      </c>
      <c r="AJ30" s="45">
        <f t="shared" si="1"/>
        <v>26.429150572805021</v>
      </c>
      <c r="AK30" s="46">
        <f t="shared" si="2"/>
        <v>5</v>
      </c>
      <c r="AL30" s="42" t="s">
        <v>300</v>
      </c>
      <c r="AM30" s="42"/>
      <c r="AN30" s="42">
        <v>386</v>
      </c>
      <c r="AO30" s="42">
        <v>406</v>
      </c>
      <c r="AP30" s="42">
        <v>361</v>
      </c>
      <c r="AQ30" s="42">
        <v>358</v>
      </c>
      <c r="AR30" s="42"/>
      <c r="AS30" s="42"/>
      <c r="AT30" s="42"/>
      <c r="AU30" s="42"/>
      <c r="AV30" s="42">
        <v>390</v>
      </c>
      <c r="AW30" s="43" t="s">
        <v>1972</v>
      </c>
      <c r="AX30" s="42">
        <v>358</v>
      </c>
      <c r="AY30" s="42">
        <v>390</v>
      </c>
      <c r="AZ30" s="45"/>
      <c r="BA30" s="45"/>
      <c r="BB30" s="45"/>
      <c r="BC30" s="45"/>
      <c r="BD30" s="42" t="s">
        <v>157</v>
      </c>
      <c r="BE30" s="42" t="s">
        <v>301</v>
      </c>
      <c r="BF30" s="42" t="s">
        <v>302</v>
      </c>
      <c r="BG30" s="42" t="s">
        <v>303</v>
      </c>
      <c r="BH30" s="42" t="s">
        <v>161</v>
      </c>
      <c r="BI30" s="42" t="s">
        <v>162</v>
      </c>
      <c r="BJ30" s="42" t="s">
        <v>304</v>
      </c>
      <c r="BK30" s="42" t="s">
        <v>164</v>
      </c>
      <c r="BL30" s="42" t="s">
        <v>165</v>
      </c>
      <c r="BM30" s="43" t="s">
        <v>1865</v>
      </c>
      <c r="BN30" s="42" t="s">
        <v>305</v>
      </c>
      <c r="BO30" s="42" t="s">
        <v>167</v>
      </c>
      <c r="BP30" s="46">
        <v>0</v>
      </c>
      <c r="BQ30" s="46">
        <v>0</v>
      </c>
      <c r="BR30" s="42"/>
      <c r="BS30" s="42" t="s">
        <v>168</v>
      </c>
      <c r="BT30" s="42" t="s">
        <v>169</v>
      </c>
      <c r="BU30" s="42" t="s">
        <v>170</v>
      </c>
      <c r="BV30" s="42"/>
    </row>
    <row r="31" spans="1:74" ht="78" customHeight="1">
      <c r="A31" s="59" t="s">
        <v>320</v>
      </c>
      <c r="B31" s="60" t="s">
        <v>248</v>
      </c>
      <c r="C31" s="60" t="s">
        <v>140</v>
      </c>
      <c r="D31" s="60" t="s">
        <v>321</v>
      </c>
      <c r="E31" s="60" t="s">
        <v>172</v>
      </c>
      <c r="F31" s="15">
        <v>91</v>
      </c>
      <c r="G31" s="15">
        <v>94</v>
      </c>
      <c r="H31" s="15">
        <v>92</v>
      </c>
      <c r="I31" s="60" t="s">
        <v>275</v>
      </c>
      <c r="J31" s="60" t="s">
        <v>322</v>
      </c>
      <c r="K31" s="60" t="s">
        <v>145</v>
      </c>
      <c r="L31" s="60" t="s">
        <v>195</v>
      </c>
      <c r="M31" s="60" t="s">
        <v>147</v>
      </c>
      <c r="N31" s="60" t="s">
        <v>148</v>
      </c>
      <c r="O31" s="60" t="s">
        <v>149</v>
      </c>
      <c r="P31" s="60" t="s">
        <v>150</v>
      </c>
      <c r="Q31" s="60" t="s">
        <v>151</v>
      </c>
      <c r="R31" s="60" t="s">
        <v>140</v>
      </c>
      <c r="S31" s="60">
        <v>1</v>
      </c>
      <c r="T31" s="60">
        <v>1</v>
      </c>
      <c r="U31" s="61" t="s">
        <v>2412</v>
      </c>
      <c r="V31" s="60" t="s">
        <v>240</v>
      </c>
      <c r="W31" s="61" t="s">
        <v>1884</v>
      </c>
      <c r="X31" s="61" t="s">
        <v>1912</v>
      </c>
      <c r="Y31" s="60" t="s">
        <v>41</v>
      </c>
      <c r="Z31" s="60" t="s">
        <v>41</v>
      </c>
      <c r="AA31" s="61" t="s">
        <v>1869</v>
      </c>
      <c r="AB31" s="62">
        <v>1.3709677419354838</v>
      </c>
      <c r="AC31" s="60">
        <v>2026</v>
      </c>
      <c r="AD31" s="63">
        <v>400</v>
      </c>
      <c r="AE31" s="63">
        <v>371</v>
      </c>
      <c r="AF31" s="63">
        <v>338</v>
      </c>
      <c r="AG31" s="63">
        <v>323</v>
      </c>
      <c r="AH31" s="63">
        <v>324</v>
      </c>
      <c r="AI31" s="63">
        <f t="shared" si="0"/>
        <v>351.2</v>
      </c>
      <c r="AJ31" s="63">
        <f t="shared" si="1"/>
        <v>33.476857678103542</v>
      </c>
      <c r="AK31" s="64">
        <f t="shared" si="2"/>
        <v>5</v>
      </c>
      <c r="AL31" s="60" t="s">
        <v>323</v>
      </c>
      <c r="AM31" s="60"/>
      <c r="AN31" s="60">
        <v>371</v>
      </c>
      <c r="AO31" s="60">
        <v>385</v>
      </c>
      <c r="AP31" s="60">
        <v>343</v>
      </c>
      <c r="AQ31" s="60">
        <v>369</v>
      </c>
      <c r="AR31" s="60"/>
      <c r="AS31" s="60"/>
      <c r="AT31" s="60"/>
      <c r="AU31" s="60"/>
      <c r="AV31" s="60">
        <v>393</v>
      </c>
      <c r="AW31" s="61" t="s">
        <v>1972</v>
      </c>
      <c r="AX31" s="60">
        <v>343</v>
      </c>
      <c r="AY31" s="60">
        <v>393</v>
      </c>
      <c r="AZ31" s="63"/>
      <c r="BA31" s="63"/>
      <c r="BB31" s="63"/>
      <c r="BC31" s="63"/>
      <c r="BD31" s="60" t="s">
        <v>157</v>
      </c>
      <c r="BE31" s="60" t="s">
        <v>324</v>
      </c>
      <c r="BF31" s="60" t="s">
        <v>159</v>
      </c>
      <c r="BG31" s="60" t="s">
        <v>325</v>
      </c>
      <c r="BH31" s="60" t="s">
        <v>161</v>
      </c>
      <c r="BI31" s="60" t="s">
        <v>162</v>
      </c>
      <c r="BJ31" s="60" t="s">
        <v>245</v>
      </c>
      <c r="BK31" s="60" t="s">
        <v>164</v>
      </c>
      <c r="BL31" s="60" t="s">
        <v>258</v>
      </c>
      <c r="BM31" s="61" t="s">
        <v>1865</v>
      </c>
      <c r="BN31" s="60" t="s">
        <v>247</v>
      </c>
      <c r="BO31" s="60" t="s">
        <v>167</v>
      </c>
      <c r="BP31" s="64">
        <v>0</v>
      </c>
      <c r="BQ31" s="64">
        <v>0</v>
      </c>
      <c r="BR31" s="60"/>
      <c r="BS31" s="60" t="s">
        <v>168</v>
      </c>
      <c r="BT31" s="60" t="s">
        <v>169</v>
      </c>
      <c r="BU31" s="60" t="s">
        <v>170</v>
      </c>
      <c r="BV31" s="60"/>
    </row>
    <row r="32" spans="1:74" ht="78" hidden="1" customHeight="1">
      <c r="A32" s="65" t="s">
        <v>422</v>
      </c>
      <c r="B32" s="66" t="s">
        <v>140</v>
      </c>
      <c r="C32" s="66" t="s">
        <v>140</v>
      </c>
      <c r="D32" s="66" t="s">
        <v>423</v>
      </c>
      <c r="E32" s="66" t="s">
        <v>424</v>
      </c>
      <c r="F32" s="15">
        <v>86</v>
      </c>
      <c r="G32" s="15">
        <v>86</v>
      </c>
      <c r="H32" s="15">
        <v>86</v>
      </c>
      <c r="I32" s="66" t="s">
        <v>393</v>
      </c>
      <c r="J32" s="66" t="s">
        <v>425</v>
      </c>
      <c r="K32" s="66" t="s">
        <v>145</v>
      </c>
      <c r="L32" s="66" t="s">
        <v>146</v>
      </c>
      <c r="M32" s="66" t="s">
        <v>426</v>
      </c>
      <c r="N32" s="66" t="s">
        <v>148</v>
      </c>
      <c r="O32" s="66" t="s">
        <v>427</v>
      </c>
      <c r="P32" s="66" t="s">
        <v>150</v>
      </c>
      <c r="Q32" s="66" t="s">
        <v>151</v>
      </c>
      <c r="R32" s="66" t="s">
        <v>248</v>
      </c>
      <c r="S32" s="66">
        <v>0</v>
      </c>
      <c r="T32" s="66">
        <v>0</v>
      </c>
      <c r="U32" s="70" t="s">
        <v>1887</v>
      </c>
      <c r="V32" s="66" t="s">
        <v>168</v>
      </c>
      <c r="W32" s="70" t="s">
        <v>1888</v>
      </c>
      <c r="X32" s="66" t="s">
        <v>428</v>
      </c>
      <c r="Y32" s="66" t="s">
        <v>429</v>
      </c>
      <c r="Z32" s="66" t="s">
        <v>154</v>
      </c>
      <c r="AA32" s="66" t="s">
        <v>155</v>
      </c>
      <c r="AB32" s="67">
        <v>1.3125</v>
      </c>
      <c r="AC32" s="66">
        <v>2025</v>
      </c>
      <c r="AD32" s="68">
        <v>370</v>
      </c>
      <c r="AE32" s="68">
        <v>350</v>
      </c>
      <c r="AF32" s="68">
        <v>350</v>
      </c>
      <c r="AG32" s="68">
        <v>345</v>
      </c>
      <c r="AH32" s="68">
        <v>340</v>
      </c>
      <c r="AI32" s="68">
        <f t="shared" si="0"/>
        <v>351</v>
      </c>
      <c r="AJ32" s="68">
        <f t="shared" si="1"/>
        <v>11.401754250991379</v>
      </c>
      <c r="AK32" s="69">
        <f t="shared" si="2"/>
        <v>5</v>
      </c>
      <c r="AL32" s="66" t="s">
        <v>430</v>
      </c>
      <c r="AM32" s="66"/>
      <c r="AN32" s="66">
        <v>387</v>
      </c>
      <c r="AO32" s="66">
        <v>371</v>
      </c>
      <c r="AP32" s="66">
        <v>380</v>
      </c>
      <c r="AQ32" s="66"/>
      <c r="AR32" s="66"/>
      <c r="AS32" s="66"/>
      <c r="AT32" s="66">
        <v>390</v>
      </c>
      <c r="AU32" s="66"/>
      <c r="AV32" s="66"/>
      <c r="AW32" s="70" t="s">
        <v>1978</v>
      </c>
      <c r="AX32" s="66">
        <v>371</v>
      </c>
      <c r="AY32" s="66">
        <v>390</v>
      </c>
      <c r="AZ32" s="68"/>
      <c r="BA32" s="68"/>
      <c r="BB32" s="68"/>
      <c r="BC32" s="68"/>
      <c r="BD32" s="66" t="s">
        <v>157</v>
      </c>
      <c r="BE32" s="66" t="s">
        <v>431</v>
      </c>
      <c r="BF32" s="66" t="s">
        <v>359</v>
      </c>
      <c r="BG32" s="66" t="s">
        <v>390</v>
      </c>
      <c r="BH32" s="66" t="s">
        <v>161</v>
      </c>
      <c r="BI32" s="66" t="s">
        <v>162</v>
      </c>
      <c r="BJ32" s="66" t="s">
        <v>432</v>
      </c>
      <c r="BK32" s="66" t="s">
        <v>433</v>
      </c>
      <c r="BL32" s="66" t="s">
        <v>165</v>
      </c>
      <c r="BM32" s="70" t="s">
        <v>1865</v>
      </c>
      <c r="BN32" s="66" t="s">
        <v>305</v>
      </c>
      <c r="BO32" s="66" t="s">
        <v>167</v>
      </c>
      <c r="BP32" s="69">
        <v>0</v>
      </c>
      <c r="BQ32" s="69">
        <v>0</v>
      </c>
      <c r="BR32" s="66"/>
      <c r="BS32" s="66" t="s">
        <v>168</v>
      </c>
      <c r="BT32" s="66" t="s">
        <v>169</v>
      </c>
      <c r="BU32" s="66" t="s">
        <v>170</v>
      </c>
      <c r="BV32" s="66"/>
    </row>
    <row r="33" spans="1:74" ht="78" customHeight="1">
      <c r="A33" s="41" t="s">
        <v>338</v>
      </c>
      <c r="B33" s="42" t="s">
        <v>248</v>
      </c>
      <c r="C33" s="42" t="s">
        <v>140</v>
      </c>
      <c r="D33" s="42" t="s">
        <v>307</v>
      </c>
      <c r="E33" s="42" t="s">
        <v>172</v>
      </c>
      <c r="F33" s="15">
        <v>90</v>
      </c>
      <c r="G33" s="15">
        <v>93</v>
      </c>
      <c r="H33" s="15">
        <v>91</v>
      </c>
      <c r="I33" s="42" t="s">
        <v>275</v>
      </c>
      <c r="J33" s="42" t="s">
        <v>339</v>
      </c>
      <c r="K33" s="42" t="s">
        <v>145</v>
      </c>
      <c r="L33" s="42" t="s">
        <v>195</v>
      </c>
      <c r="M33" s="42" t="s">
        <v>147</v>
      </c>
      <c r="N33" s="42" t="s">
        <v>148</v>
      </c>
      <c r="O33" s="42" t="s">
        <v>340</v>
      </c>
      <c r="P33" s="42" t="s">
        <v>150</v>
      </c>
      <c r="Q33" s="42" t="s">
        <v>151</v>
      </c>
      <c r="R33" s="42" t="s">
        <v>140</v>
      </c>
      <c r="S33" s="42">
        <v>1</v>
      </c>
      <c r="T33" s="42">
        <v>1</v>
      </c>
      <c r="U33" s="43" t="s">
        <v>2413</v>
      </c>
      <c r="V33" s="42" t="s">
        <v>240</v>
      </c>
      <c r="W33" s="43" t="s">
        <v>1884</v>
      </c>
      <c r="X33" s="43" t="s">
        <v>1933</v>
      </c>
      <c r="Y33" s="42" t="s">
        <v>41</v>
      </c>
      <c r="Z33" s="42" t="s">
        <v>41</v>
      </c>
      <c r="AA33" s="43" t="s">
        <v>1869</v>
      </c>
      <c r="AB33" s="44">
        <v>1.2</v>
      </c>
      <c r="AC33" s="42">
        <v>2026</v>
      </c>
      <c r="AD33" s="45">
        <v>370</v>
      </c>
      <c r="AE33" s="45">
        <v>370</v>
      </c>
      <c r="AF33" s="45">
        <v>338</v>
      </c>
      <c r="AG33" s="45">
        <v>323</v>
      </c>
      <c r="AH33" s="45">
        <v>324</v>
      </c>
      <c r="AI33" s="45">
        <f t="shared" si="0"/>
        <v>345</v>
      </c>
      <c r="AJ33" s="45">
        <f t="shared" si="1"/>
        <v>23.57965224510319</v>
      </c>
      <c r="AK33" s="46">
        <f t="shared" si="2"/>
        <v>5</v>
      </c>
      <c r="AL33" s="42" t="s">
        <v>341</v>
      </c>
      <c r="AM33" s="42"/>
      <c r="AN33" s="42">
        <v>370</v>
      </c>
      <c r="AO33" s="42">
        <v>381</v>
      </c>
      <c r="AP33" s="42">
        <v>364</v>
      </c>
      <c r="AQ33" s="42">
        <v>373</v>
      </c>
      <c r="AR33" s="42"/>
      <c r="AS33" s="42"/>
      <c r="AT33" s="42"/>
      <c r="AU33" s="42"/>
      <c r="AV33" s="42">
        <v>390</v>
      </c>
      <c r="AW33" s="43" t="s">
        <v>1972</v>
      </c>
      <c r="AX33" s="42">
        <v>364</v>
      </c>
      <c r="AY33" s="42">
        <v>390</v>
      </c>
      <c r="AZ33" s="45"/>
      <c r="BA33" s="45"/>
      <c r="BB33" s="45"/>
      <c r="BC33" s="45"/>
      <c r="BD33" s="42" t="s">
        <v>157</v>
      </c>
      <c r="BE33" s="42" t="s">
        <v>342</v>
      </c>
      <c r="BF33" s="42" t="s">
        <v>159</v>
      </c>
      <c r="BG33" s="42" t="s">
        <v>343</v>
      </c>
      <c r="BH33" s="42" t="s">
        <v>161</v>
      </c>
      <c r="BI33" s="42" t="s">
        <v>162</v>
      </c>
      <c r="BJ33" s="42" t="s">
        <v>272</v>
      </c>
      <c r="BK33" s="42" t="s">
        <v>164</v>
      </c>
      <c r="BL33" s="42" t="s">
        <v>258</v>
      </c>
      <c r="BM33" s="43" t="s">
        <v>1865</v>
      </c>
      <c r="BN33" s="42" t="s">
        <v>274</v>
      </c>
      <c r="BO33" s="42" t="s">
        <v>167</v>
      </c>
      <c r="BP33" s="46">
        <v>0</v>
      </c>
      <c r="BQ33" s="46">
        <v>0</v>
      </c>
      <c r="BR33" s="42"/>
      <c r="BS33" s="42" t="s">
        <v>168</v>
      </c>
      <c r="BT33" s="42" t="s">
        <v>169</v>
      </c>
      <c r="BU33" s="42" t="s">
        <v>170</v>
      </c>
      <c r="BV33" s="42"/>
    </row>
    <row r="34" spans="1:74" ht="78" customHeight="1">
      <c r="A34" s="41" t="s">
        <v>344</v>
      </c>
      <c r="B34" s="42" t="s">
        <v>140</v>
      </c>
      <c r="C34" s="42" t="s">
        <v>140</v>
      </c>
      <c r="D34" s="42" t="s">
        <v>193</v>
      </c>
      <c r="E34" s="42" t="s">
        <v>172</v>
      </c>
      <c r="F34" s="15">
        <v>90</v>
      </c>
      <c r="G34" s="15">
        <v>91</v>
      </c>
      <c r="H34" s="15">
        <v>91</v>
      </c>
      <c r="I34" s="42" t="s">
        <v>275</v>
      </c>
      <c r="J34" s="42" t="s">
        <v>345</v>
      </c>
      <c r="K34" s="42" t="s">
        <v>145</v>
      </c>
      <c r="L34" s="42" t="s">
        <v>146</v>
      </c>
      <c r="M34" s="42" t="s">
        <v>147</v>
      </c>
      <c r="N34" s="42" t="s">
        <v>148</v>
      </c>
      <c r="O34" s="42" t="s">
        <v>149</v>
      </c>
      <c r="P34" s="42" t="s">
        <v>150</v>
      </c>
      <c r="Q34" s="42" t="s">
        <v>151</v>
      </c>
      <c r="R34" s="42" t="s">
        <v>140</v>
      </c>
      <c r="S34" s="42">
        <v>1</v>
      </c>
      <c r="T34" s="42">
        <v>1</v>
      </c>
      <c r="U34" s="43" t="s">
        <v>2414</v>
      </c>
      <c r="V34" s="42" t="s">
        <v>152</v>
      </c>
      <c r="W34" s="43" t="s">
        <v>1864</v>
      </c>
      <c r="X34" s="43" t="s">
        <v>1886</v>
      </c>
      <c r="Y34" s="42" t="s">
        <v>41</v>
      </c>
      <c r="Z34" s="42" t="s">
        <v>41</v>
      </c>
      <c r="AA34" s="43" t="s">
        <v>1869</v>
      </c>
      <c r="AB34" s="44">
        <v>1.896551724137931</v>
      </c>
      <c r="AC34" s="42">
        <v>2026</v>
      </c>
      <c r="AD34" s="45">
        <v>360</v>
      </c>
      <c r="AE34" s="45">
        <v>346</v>
      </c>
      <c r="AF34" s="45"/>
      <c r="AG34" s="45">
        <v>323</v>
      </c>
      <c r="AH34" s="45">
        <v>324</v>
      </c>
      <c r="AI34" s="45">
        <f t="shared" si="0"/>
        <v>338.25</v>
      </c>
      <c r="AJ34" s="45">
        <f t="shared" si="1"/>
        <v>17.969882210706523</v>
      </c>
      <c r="AK34" s="46">
        <f t="shared" si="2"/>
        <v>4</v>
      </c>
      <c r="AL34" s="42" t="s">
        <v>346</v>
      </c>
      <c r="AM34" s="42"/>
      <c r="AN34" s="42"/>
      <c r="AO34" s="42"/>
      <c r="AP34" s="42">
        <v>386</v>
      </c>
      <c r="AQ34" s="42">
        <v>404</v>
      </c>
      <c r="AR34" s="42"/>
      <c r="AS34" s="42"/>
      <c r="AT34" s="42"/>
      <c r="AU34" s="42"/>
      <c r="AV34" s="42">
        <v>426</v>
      </c>
      <c r="AW34" s="43" t="s">
        <v>1972</v>
      </c>
      <c r="AX34" s="42">
        <v>386</v>
      </c>
      <c r="AY34" s="42">
        <v>426</v>
      </c>
      <c r="AZ34" s="45"/>
      <c r="BA34" s="45"/>
      <c r="BB34" s="45"/>
      <c r="BC34" s="45"/>
      <c r="BD34" s="42" t="s">
        <v>157</v>
      </c>
      <c r="BE34" s="42" t="s">
        <v>347</v>
      </c>
      <c r="BF34" s="42" t="s">
        <v>182</v>
      </c>
      <c r="BG34" s="42" t="s">
        <v>256</v>
      </c>
      <c r="BH34" s="42" t="s">
        <v>161</v>
      </c>
      <c r="BI34" s="42" t="s">
        <v>231</v>
      </c>
      <c r="BJ34" s="42" t="s">
        <v>272</v>
      </c>
      <c r="BK34" s="42" t="s">
        <v>164</v>
      </c>
      <c r="BL34" s="42" t="s">
        <v>165</v>
      </c>
      <c r="BM34" s="43" t="s">
        <v>1865</v>
      </c>
      <c r="BN34" s="42" t="s">
        <v>348</v>
      </c>
      <c r="BO34" s="42" t="s">
        <v>167</v>
      </c>
      <c r="BP34" s="46">
        <v>0</v>
      </c>
      <c r="BQ34" s="46">
        <v>0</v>
      </c>
      <c r="BR34" s="42"/>
      <c r="BS34" s="42" t="s">
        <v>168</v>
      </c>
      <c r="BT34" s="42" t="s">
        <v>169</v>
      </c>
      <c r="BU34" s="42" t="s">
        <v>170</v>
      </c>
      <c r="BV34" s="42"/>
    </row>
    <row r="35" spans="1:74" ht="78" customHeight="1">
      <c r="A35" s="41" t="s">
        <v>349</v>
      </c>
      <c r="B35" s="42" t="s">
        <v>248</v>
      </c>
      <c r="C35" s="42" t="s">
        <v>140</v>
      </c>
      <c r="D35" s="42" t="s">
        <v>321</v>
      </c>
      <c r="E35" s="42" t="s">
        <v>172</v>
      </c>
      <c r="F35" s="15">
        <v>90</v>
      </c>
      <c r="G35" s="15">
        <v>92</v>
      </c>
      <c r="H35" s="15">
        <v>90</v>
      </c>
      <c r="I35" s="42" t="s">
        <v>275</v>
      </c>
      <c r="J35" s="42" t="s">
        <v>350</v>
      </c>
      <c r="K35" s="42" t="s">
        <v>145</v>
      </c>
      <c r="L35" s="42" t="s">
        <v>146</v>
      </c>
      <c r="M35" s="42" t="s">
        <v>147</v>
      </c>
      <c r="N35" s="42" t="s">
        <v>148</v>
      </c>
      <c r="O35" s="42" t="s">
        <v>149</v>
      </c>
      <c r="P35" s="42" t="s">
        <v>150</v>
      </c>
      <c r="Q35" s="42" t="s">
        <v>151</v>
      </c>
      <c r="R35" s="42" t="s">
        <v>140</v>
      </c>
      <c r="S35" s="42">
        <v>1</v>
      </c>
      <c r="T35" s="42">
        <v>1</v>
      </c>
      <c r="U35" s="43" t="s">
        <v>2415</v>
      </c>
      <c r="V35" s="42" t="s">
        <v>240</v>
      </c>
      <c r="W35" s="43" t="s">
        <v>1867</v>
      </c>
      <c r="X35" s="43" t="s">
        <v>1936</v>
      </c>
      <c r="Y35" s="43" t="s">
        <v>1979</v>
      </c>
      <c r="Z35" s="43" t="s">
        <v>1979</v>
      </c>
      <c r="AA35" s="43" t="s">
        <v>1877</v>
      </c>
      <c r="AB35" s="44">
        <v>1.2922077922077919</v>
      </c>
      <c r="AC35" s="42">
        <v>2026</v>
      </c>
      <c r="AD35" s="45">
        <v>360</v>
      </c>
      <c r="AE35" s="45">
        <v>382</v>
      </c>
      <c r="AF35" s="45">
        <v>338</v>
      </c>
      <c r="AG35" s="45">
        <v>323</v>
      </c>
      <c r="AH35" s="45">
        <v>324</v>
      </c>
      <c r="AI35" s="45">
        <f t="shared" ref="AI35:AI66" si="3">IF(COUNT(AD35:AH35)=0,"",AVERAGE(AD35:AH35))</f>
        <v>345.4</v>
      </c>
      <c r="AJ35" s="45">
        <f t="shared" ref="AJ35:AJ66" si="4">IF(COUNT(AD35:AH35)&lt;2,"",STDEV(AD35:AH35))</f>
        <v>25.333771926027914</v>
      </c>
      <c r="AK35" s="46">
        <f t="shared" ref="AK35:AK66" si="5">COUNT(AD35:AH35)</f>
        <v>5</v>
      </c>
      <c r="AL35" s="42" t="s">
        <v>341</v>
      </c>
      <c r="AM35" s="42"/>
      <c r="AN35" s="42">
        <v>382</v>
      </c>
      <c r="AO35" s="42">
        <v>365</v>
      </c>
      <c r="AP35" s="42">
        <v>323</v>
      </c>
      <c r="AQ35" s="42">
        <v>358</v>
      </c>
      <c r="AR35" s="42"/>
      <c r="AS35" s="42"/>
      <c r="AT35" s="42"/>
      <c r="AU35" s="42">
        <v>346</v>
      </c>
      <c r="AV35" s="42">
        <v>381</v>
      </c>
      <c r="AW35" s="43" t="s">
        <v>1975</v>
      </c>
      <c r="AX35" s="42">
        <v>323</v>
      </c>
      <c r="AY35" s="42">
        <v>363.5</v>
      </c>
      <c r="AZ35" s="45"/>
      <c r="BA35" s="45"/>
      <c r="BB35" s="45"/>
      <c r="BC35" s="45"/>
      <c r="BD35" s="42" t="s">
        <v>157</v>
      </c>
      <c r="BE35" s="42" t="s">
        <v>351</v>
      </c>
      <c r="BF35" s="42" t="s">
        <v>263</v>
      </c>
      <c r="BG35" s="42" t="s">
        <v>352</v>
      </c>
      <c r="BH35" s="42" t="s">
        <v>161</v>
      </c>
      <c r="BI35" s="42" t="s">
        <v>162</v>
      </c>
      <c r="BJ35" s="42" t="s">
        <v>353</v>
      </c>
      <c r="BK35" s="42" t="s">
        <v>164</v>
      </c>
      <c r="BL35" s="42" t="s">
        <v>165</v>
      </c>
      <c r="BM35" s="43" t="s">
        <v>1865</v>
      </c>
      <c r="BN35" s="42" t="s">
        <v>305</v>
      </c>
      <c r="BO35" s="42" t="s">
        <v>167</v>
      </c>
      <c r="BP35" s="46">
        <v>0</v>
      </c>
      <c r="BQ35" s="46">
        <v>0</v>
      </c>
      <c r="BR35" s="42"/>
      <c r="BS35" s="42" t="s">
        <v>168</v>
      </c>
      <c r="BT35" s="42" t="s">
        <v>169</v>
      </c>
      <c r="BU35" s="42" t="s">
        <v>170</v>
      </c>
      <c r="BV35" s="42"/>
    </row>
    <row r="36" spans="1:74" ht="78" customHeight="1">
      <c r="A36" s="65" t="s">
        <v>354</v>
      </c>
      <c r="B36" s="66" t="s">
        <v>140</v>
      </c>
      <c r="C36" s="66" t="s">
        <v>140</v>
      </c>
      <c r="D36" s="66" t="s">
        <v>355</v>
      </c>
      <c r="E36" s="66" t="s">
        <v>172</v>
      </c>
      <c r="F36" s="15">
        <v>90</v>
      </c>
      <c r="G36" s="15">
        <v>90</v>
      </c>
      <c r="H36" s="15">
        <v>90</v>
      </c>
      <c r="I36" s="66" t="s">
        <v>275</v>
      </c>
      <c r="J36" s="66" t="s">
        <v>356</v>
      </c>
      <c r="K36" s="66" t="s">
        <v>145</v>
      </c>
      <c r="L36" s="66" t="s">
        <v>146</v>
      </c>
      <c r="M36" s="66" t="s">
        <v>147</v>
      </c>
      <c r="N36" s="66" t="s">
        <v>148</v>
      </c>
      <c r="O36" s="66" t="s">
        <v>149</v>
      </c>
      <c r="P36" s="66" t="s">
        <v>150</v>
      </c>
      <c r="Q36" s="66" t="s">
        <v>151</v>
      </c>
      <c r="R36" s="66" t="s">
        <v>248</v>
      </c>
      <c r="S36" s="66">
        <v>0</v>
      </c>
      <c r="T36" s="66">
        <v>0</v>
      </c>
      <c r="U36" s="70" t="s">
        <v>1880</v>
      </c>
      <c r="V36" s="66" t="s">
        <v>168</v>
      </c>
      <c r="W36" s="70" t="s">
        <v>1881</v>
      </c>
      <c r="X36" s="70" t="s">
        <v>1882</v>
      </c>
      <c r="Y36" s="66" t="s">
        <v>41</v>
      </c>
      <c r="Z36" s="66" t="s">
        <v>41</v>
      </c>
      <c r="AA36" s="70" t="s">
        <v>1869</v>
      </c>
      <c r="AB36" s="67"/>
      <c r="AC36" s="66"/>
      <c r="AD36" s="68"/>
      <c r="AE36" s="68"/>
      <c r="AF36" s="68">
        <v>338</v>
      </c>
      <c r="AG36" s="68">
        <v>323</v>
      </c>
      <c r="AH36" s="68">
        <v>324</v>
      </c>
      <c r="AI36" s="68">
        <f t="shared" si="3"/>
        <v>328.33333333333331</v>
      </c>
      <c r="AJ36" s="68">
        <f t="shared" si="4"/>
        <v>8.3864970836060841</v>
      </c>
      <c r="AK36" s="69">
        <f t="shared" si="5"/>
        <v>3</v>
      </c>
      <c r="AL36" s="66" t="s">
        <v>357</v>
      </c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70" t="s">
        <v>1977</v>
      </c>
      <c r="AX36" s="66"/>
      <c r="AY36" s="66"/>
      <c r="AZ36" s="68"/>
      <c r="BA36" s="68"/>
      <c r="BB36" s="68"/>
      <c r="BC36" s="68"/>
      <c r="BD36" s="66" t="s">
        <v>157</v>
      </c>
      <c r="BE36" s="66" t="s">
        <v>358</v>
      </c>
      <c r="BF36" s="66" t="s">
        <v>359</v>
      </c>
      <c r="BG36" s="66" t="s">
        <v>360</v>
      </c>
      <c r="BH36" s="66" t="s">
        <v>161</v>
      </c>
      <c r="BI36" s="66" t="s">
        <v>361</v>
      </c>
      <c r="BJ36" s="66" t="s">
        <v>361</v>
      </c>
      <c r="BK36" s="66" t="s">
        <v>362</v>
      </c>
      <c r="BL36" s="66" t="s">
        <v>258</v>
      </c>
      <c r="BM36" s="70" t="s">
        <v>1865</v>
      </c>
      <c r="BN36" s="66" t="s">
        <v>363</v>
      </c>
      <c r="BO36" s="66" t="s">
        <v>167</v>
      </c>
      <c r="BP36" s="69">
        <v>0</v>
      </c>
      <c r="BQ36" s="69">
        <v>0</v>
      </c>
      <c r="BR36" s="66"/>
      <c r="BS36" s="66" t="s">
        <v>168</v>
      </c>
      <c r="BT36" s="66" t="s">
        <v>169</v>
      </c>
      <c r="BU36" s="66" t="s">
        <v>170</v>
      </c>
      <c r="BV36" s="66"/>
    </row>
    <row r="37" spans="1:74" ht="78" customHeight="1">
      <c r="A37" s="41" t="s">
        <v>434</v>
      </c>
      <c r="B37" s="42" t="s">
        <v>248</v>
      </c>
      <c r="C37" s="42" t="s">
        <v>140</v>
      </c>
      <c r="D37" s="42" t="s">
        <v>259</v>
      </c>
      <c r="E37" s="42" t="s">
        <v>172</v>
      </c>
      <c r="F37" s="15">
        <v>86</v>
      </c>
      <c r="G37" s="15">
        <v>85</v>
      </c>
      <c r="H37" s="15">
        <v>88</v>
      </c>
      <c r="I37" s="42" t="s">
        <v>393</v>
      </c>
      <c r="J37" s="42" t="s">
        <v>435</v>
      </c>
      <c r="K37" s="42" t="s">
        <v>145</v>
      </c>
      <c r="L37" s="42" t="s">
        <v>195</v>
      </c>
      <c r="M37" s="42" t="s">
        <v>147</v>
      </c>
      <c r="N37" s="42" t="s">
        <v>148</v>
      </c>
      <c r="O37" s="42" t="s">
        <v>149</v>
      </c>
      <c r="P37" s="42" t="s">
        <v>150</v>
      </c>
      <c r="Q37" s="42" t="s">
        <v>151</v>
      </c>
      <c r="R37" s="42" t="s">
        <v>140</v>
      </c>
      <c r="S37" s="42">
        <v>1</v>
      </c>
      <c r="T37" s="42">
        <v>1</v>
      </c>
      <c r="U37" s="43" t="s">
        <v>2416</v>
      </c>
      <c r="V37" s="42" t="s">
        <v>240</v>
      </c>
      <c r="W37" s="43" t="s">
        <v>1884</v>
      </c>
      <c r="X37" s="43" t="s">
        <v>1946</v>
      </c>
      <c r="Y37" s="42" t="s">
        <v>41</v>
      </c>
      <c r="Z37" s="42" t="s">
        <v>41</v>
      </c>
      <c r="AA37" s="43" t="s">
        <v>1869</v>
      </c>
      <c r="AB37" s="44">
        <v>1.5714285714285714</v>
      </c>
      <c r="AC37" s="42">
        <v>2026</v>
      </c>
      <c r="AD37" s="45">
        <v>400</v>
      </c>
      <c r="AE37" s="45">
        <v>350</v>
      </c>
      <c r="AF37" s="45">
        <v>338</v>
      </c>
      <c r="AG37" s="45">
        <v>323</v>
      </c>
      <c r="AH37" s="45">
        <v>324</v>
      </c>
      <c r="AI37" s="45">
        <f t="shared" si="3"/>
        <v>347</v>
      </c>
      <c r="AJ37" s="45">
        <f t="shared" si="4"/>
        <v>31.63858403911275</v>
      </c>
      <c r="AK37" s="46">
        <f t="shared" si="5"/>
        <v>5</v>
      </c>
      <c r="AL37" s="42" t="s">
        <v>341</v>
      </c>
      <c r="AM37" s="42"/>
      <c r="AN37" s="42">
        <v>351</v>
      </c>
      <c r="AO37" s="42">
        <v>347</v>
      </c>
      <c r="AP37" s="42">
        <v>375</v>
      </c>
      <c r="AQ37" s="42">
        <v>355</v>
      </c>
      <c r="AR37" s="42"/>
      <c r="AS37" s="42">
        <v>385</v>
      </c>
      <c r="AT37" s="42">
        <v>357</v>
      </c>
      <c r="AU37" s="42">
        <v>380</v>
      </c>
      <c r="AV37" s="42">
        <v>395.5</v>
      </c>
      <c r="AW37" s="43" t="s">
        <v>1969</v>
      </c>
      <c r="AX37" s="42">
        <v>347</v>
      </c>
      <c r="AY37" s="42">
        <v>382.5</v>
      </c>
      <c r="AZ37" s="45"/>
      <c r="BA37" s="45"/>
      <c r="BB37" s="45"/>
      <c r="BC37" s="45"/>
      <c r="BD37" s="42" t="s">
        <v>157</v>
      </c>
      <c r="BE37" s="42" t="s">
        <v>436</v>
      </c>
      <c r="BF37" s="42" t="s">
        <v>270</v>
      </c>
      <c r="BG37" s="42" t="s">
        <v>336</v>
      </c>
      <c r="BH37" s="42" t="s">
        <v>161</v>
      </c>
      <c r="BI37" s="42" t="s">
        <v>231</v>
      </c>
      <c r="BJ37" s="42" t="s">
        <v>296</v>
      </c>
      <c r="BK37" s="42" t="s">
        <v>164</v>
      </c>
      <c r="BL37" s="42" t="s">
        <v>258</v>
      </c>
      <c r="BM37" s="43" t="s">
        <v>1865</v>
      </c>
      <c r="BN37" s="42" t="s">
        <v>437</v>
      </c>
      <c r="BO37" s="42" t="s">
        <v>167</v>
      </c>
      <c r="BP37" s="46">
        <v>0</v>
      </c>
      <c r="BQ37" s="46">
        <v>0</v>
      </c>
      <c r="BR37" s="42"/>
      <c r="BS37" s="42" t="s">
        <v>168</v>
      </c>
      <c r="BT37" s="42" t="s">
        <v>169</v>
      </c>
      <c r="BU37" s="42" t="s">
        <v>170</v>
      </c>
      <c r="BV37" s="42"/>
    </row>
    <row r="38" spans="1:74" ht="78" customHeight="1">
      <c r="A38" s="53" t="s">
        <v>443</v>
      </c>
      <c r="B38" s="54" t="s">
        <v>248</v>
      </c>
      <c r="C38" s="54" t="s">
        <v>140</v>
      </c>
      <c r="D38" s="54" t="s">
        <v>209</v>
      </c>
      <c r="E38" s="54" t="s">
        <v>172</v>
      </c>
      <c r="F38" s="15">
        <v>83</v>
      </c>
      <c r="G38" s="15">
        <v>82</v>
      </c>
      <c r="H38" s="15">
        <v>85</v>
      </c>
      <c r="I38" s="54" t="s">
        <v>393</v>
      </c>
      <c r="J38" s="54" t="s">
        <v>444</v>
      </c>
      <c r="K38" s="54" t="s">
        <v>145</v>
      </c>
      <c r="L38" s="54" t="s">
        <v>146</v>
      </c>
      <c r="M38" s="54" t="s">
        <v>147</v>
      </c>
      <c r="N38" s="54" t="s">
        <v>148</v>
      </c>
      <c r="O38" s="54" t="s">
        <v>149</v>
      </c>
      <c r="P38" s="54" t="s">
        <v>150</v>
      </c>
      <c r="Q38" s="54" t="s">
        <v>151</v>
      </c>
      <c r="R38" s="54" t="s">
        <v>140</v>
      </c>
      <c r="S38" s="54">
        <v>1</v>
      </c>
      <c r="T38" s="54">
        <v>1</v>
      </c>
      <c r="U38" s="55" t="s">
        <v>2417</v>
      </c>
      <c r="V38" s="54" t="s">
        <v>152</v>
      </c>
      <c r="W38" s="55" t="s">
        <v>1864</v>
      </c>
      <c r="X38" s="55" t="s">
        <v>1915</v>
      </c>
      <c r="Y38" s="54" t="s">
        <v>41</v>
      </c>
      <c r="Z38" s="54" t="s">
        <v>41</v>
      </c>
      <c r="AA38" s="55" t="s">
        <v>1869</v>
      </c>
      <c r="AB38" s="56">
        <v>1.5909090909090908</v>
      </c>
      <c r="AC38" s="54">
        <v>2026</v>
      </c>
      <c r="AD38" s="57"/>
      <c r="AE38" s="57"/>
      <c r="AF38" s="57"/>
      <c r="AG38" s="57">
        <v>323</v>
      </c>
      <c r="AH38" s="57">
        <v>324</v>
      </c>
      <c r="AI38" s="57">
        <f t="shared" si="3"/>
        <v>323.5</v>
      </c>
      <c r="AJ38" s="57">
        <f t="shared" si="4"/>
        <v>0.70710678118654757</v>
      </c>
      <c r="AK38" s="58">
        <f t="shared" si="5"/>
        <v>2</v>
      </c>
      <c r="AL38" s="54" t="s">
        <v>445</v>
      </c>
      <c r="AM38" s="54"/>
      <c r="AN38" s="54"/>
      <c r="AO38" s="54"/>
      <c r="AP38" s="54">
        <v>358</v>
      </c>
      <c r="AQ38" s="54">
        <v>395</v>
      </c>
      <c r="AR38" s="54"/>
      <c r="AS38" s="54"/>
      <c r="AT38" s="54"/>
      <c r="AU38" s="54"/>
      <c r="AV38" s="54">
        <v>419</v>
      </c>
      <c r="AW38" s="55" t="s">
        <v>1972</v>
      </c>
      <c r="AX38" s="54">
        <v>358</v>
      </c>
      <c r="AY38" s="54">
        <v>419</v>
      </c>
      <c r="AZ38" s="57"/>
      <c r="BA38" s="57"/>
      <c r="BB38" s="57"/>
      <c r="BC38" s="57"/>
      <c r="BD38" s="54" t="s">
        <v>157</v>
      </c>
      <c r="BE38" s="54" t="s">
        <v>446</v>
      </c>
      <c r="BF38" s="54" t="s">
        <v>217</v>
      </c>
      <c r="BG38" s="54" t="s">
        <v>329</v>
      </c>
      <c r="BH38" s="54" t="s">
        <v>161</v>
      </c>
      <c r="BI38" s="54" t="s">
        <v>361</v>
      </c>
      <c r="BJ38" s="54" t="s">
        <v>361</v>
      </c>
      <c r="BK38" s="54" t="s">
        <v>362</v>
      </c>
      <c r="BL38" s="54" t="s">
        <v>258</v>
      </c>
      <c r="BM38" s="55" t="s">
        <v>1865</v>
      </c>
      <c r="BN38" s="54" t="s">
        <v>348</v>
      </c>
      <c r="BO38" s="54" t="s">
        <v>167</v>
      </c>
      <c r="BP38" s="58">
        <v>0</v>
      </c>
      <c r="BQ38" s="58">
        <v>0</v>
      </c>
      <c r="BR38" s="54"/>
      <c r="BS38" s="54" t="s">
        <v>168</v>
      </c>
      <c r="BT38" s="54" t="s">
        <v>169</v>
      </c>
      <c r="BU38" s="54" t="s">
        <v>170</v>
      </c>
      <c r="BV38" s="54"/>
    </row>
    <row r="39" spans="1:74" ht="78" customHeight="1">
      <c r="A39" s="35" t="s">
        <v>447</v>
      </c>
      <c r="B39" s="36" t="s">
        <v>248</v>
      </c>
      <c r="C39" s="36" t="s">
        <v>140</v>
      </c>
      <c r="D39" s="36" t="s">
        <v>259</v>
      </c>
      <c r="E39" s="36" t="s">
        <v>172</v>
      </c>
      <c r="F39" s="15">
        <v>83</v>
      </c>
      <c r="G39" s="15">
        <v>82</v>
      </c>
      <c r="H39" s="15">
        <v>85</v>
      </c>
      <c r="I39" s="36" t="s">
        <v>393</v>
      </c>
      <c r="J39" s="36" t="s">
        <v>444</v>
      </c>
      <c r="K39" s="36" t="s">
        <v>145</v>
      </c>
      <c r="L39" s="36" t="s">
        <v>146</v>
      </c>
      <c r="M39" s="36" t="s">
        <v>147</v>
      </c>
      <c r="N39" s="36" t="s">
        <v>148</v>
      </c>
      <c r="O39" s="36" t="s">
        <v>149</v>
      </c>
      <c r="P39" s="36" t="s">
        <v>150</v>
      </c>
      <c r="Q39" s="36" t="s">
        <v>151</v>
      </c>
      <c r="R39" s="36" t="s">
        <v>140</v>
      </c>
      <c r="S39" s="36">
        <v>1</v>
      </c>
      <c r="T39" s="36">
        <v>1</v>
      </c>
      <c r="U39" s="37" t="s">
        <v>2418</v>
      </c>
      <c r="V39" s="36" t="s">
        <v>152</v>
      </c>
      <c r="W39" s="37" t="s">
        <v>1864</v>
      </c>
      <c r="X39" s="37" t="s">
        <v>1914</v>
      </c>
      <c r="Y39" s="36" t="s">
        <v>41</v>
      </c>
      <c r="Z39" s="36" t="s">
        <v>41</v>
      </c>
      <c r="AA39" s="37" t="s">
        <v>1869</v>
      </c>
      <c r="AB39" s="38">
        <v>1.4</v>
      </c>
      <c r="AC39" s="36">
        <v>2026</v>
      </c>
      <c r="AD39" s="39"/>
      <c r="AE39" s="39"/>
      <c r="AF39" s="39"/>
      <c r="AG39" s="39">
        <v>323</v>
      </c>
      <c r="AH39" s="39">
        <v>324</v>
      </c>
      <c r="AI39" s="39">
        <f t="shared" si="3"/>
        <v>323.5</v>
      </c>
      <c r="AJ39" s="39">
        <f t="shared" si="4"/>
        <v>0.70710678118654757</v>
      </c>
      <c r="AK39" s="40">
        <f t="shared" si="5"/>
        <v>2</v>
      </c>
      <c r="AL39" s="36" t="s">
        <v>445</v>
      </c>
      <c r="AM39" s="36"/>
      <c r="AN39" s="36"/>
      <c r="AO39" s="36"/>
      <c r="AP39" s="36">
        <v>344</v>
      </c>
      <c r="AQ39" s="36">
        <v>375</v>
      </c>
      <c r="AR39" s="36"/>
      <c r="AS39" s="36"/>
      <c r="AT39" s="36"/>
      <c r="AU39" s="36">
        <v>373</v>
      </c>
      <c r="AV39" s="36">
        <v>394</v>
      </c>
      <c r="AW39" s="37" t="s">
        <v>1975</v>
      </c>
      <c r="AX39" s="36">
        <v>344</v>
      </c>
      <c r="AY39" s="36">
        <v>383.5</v>
      </c>
      <c r="AZ39" s="39"/>
      <c r="BA39" s="39"/>
      <c r="BB39" s="39"/>
      <c r="BC39" s="39"/>
      <c r="BD39" s="36" t="s">
        <v>157</v>
      </c>
      <c r="BE39" s="36" t="s">
        <v>448</v>
      </c>
      <c r="BF39" s="36" t="s">
        <v>217</v>
      </c>
      <c r="BG39" s="36" t="s">
        <v>449</v>
      </c>
      <c r="BH39" s="36" t="s">
        <v>161</v>
      </c>
      <c r="BI39" s="36" t="s">
        <v>361</v>
      </c>
      <c r="BJ39" s="36" t="s">
        <v>361</v>
      </c>
      <c r="BK39" s="36" t="s">
        <v>362</v>
      </c>
      <c r="BL39" s="36" t="s">
        <v>258</v>
      </c>
      <c r="BM39" s="37" t="s">
        <v>1865</v>
      </c>
      <c r="BN39" s="36" t="s">
        <v>348</v>
      </c>
      <c r="BO39" s="36" t="s">
        <v>167</v>
      </c>
      <c r="BP39" s="40">
        <v>0</v>
      </c>
      <c r="BQ39" s="40">
        <v>0</v>
      </c>
      <c r="BR39" s="36"/>
      <c r="BS39" s="36" t="s">
        <v>168</v>
      </c>
      <c r="BT39" s="36" t="s">
        <v>169</v>
      </c>
      <c r="BU39" s="36" t="s">
        <v>170</v>
      </c>
      <c r="BV39" s="36"/>
    </row>
    <row r="40" spans="1:74" ht="78" customHeight="1">
      <c r="A40" s="59" t="s">
        <v>450</v>
      </c>
      <c r="B40" s="60" t="s">
        <v>140</v>
      </c>
      <c r="C40" s="60" t="s">
        <v>140</v>
      </c>
      <c r="D40" s="60" t="s">
        <v>193</v>
      </c>
      <c r="E40" s="60" t="s">
        <v>172</v>
      </c>
      <c r="F40" s="15">
        <v>83</v>
      </c>
      <c r="G40" s="15">
        <v>83</v>
      </c>
      <c r="H40" s="15">
        <v>83</v>
      </c>
      <c r="I40" s="60" t="s">
        <v>393</v>
      </c>
      <c r="J40" s="60" t="s">
        <v>451</v>
      </c>
      <c r="K40" s="60" t="s">
        <v>145</v>
      </c>
      <c r="L40" s="60" t="s">
        <v>146</v>
      </c>
      <c r="M40" s="60" t="s">
        <v>147</v>
      </c>
      <c r="N40" s="60" t="s">
        <v>148</v>
      </c>
      <c r="O40" s="60" t="s">
        <v>149</v>
      </c>
      <c r="P40" s="60" t="s">
        <v>150</v>
      </c>
      <c r="Q40" s="60" t="s">
        <v>151</v>
      </c>
      <c r="R40" s="60" t="s">
        <v>248</v>
      </c>
      <c r="S40" s="60">
        <v>0</v>
      </c>
      <c r="T40" s="60">
        <v>0</v>
      </c>
      <c r="U40" s="61" t="s">
        <v>2419</v>
      </c>
      <c r="V40" s="60" t="s">
        <v>168</v>
      </c>
      <c r="W40" s="61" t="s">
        <v>1881</v>
      </c>
      <c r="X40" s="61" t="s">
        <v>1902</v>
      </c>
      <c r="Y40" s="60" t="s">
        <v>41</v>
      </c>
      <c r="Z40" s="60" t="s">
        <v>41</v>
      </c>
      <c r="AA40" s="61" t="s">
        <v>1869</v>
      </c>
      <c r="AB40" s="62">
        <v>1.1818181818181821</v>
      </c>
      <c r="AC40" s="60">
        <v>2026</v>
      </c>
      <c r="AD40" s="63">
        <v>369</v>
      </c>
      <c r="AE40" s="63">
        <v>388</v>
      </c>
      <c r="AF40" s="63">
        <v>338</v>
      </c>
      <c r="AG40" s="63">
        <v>323</v>
      </c>
      <c r="AH40" s="63">
        <v>324</v>
      </c>
      <c r="AI40" s="63">
        <f t="shared" si="3"/>
        <v>348.4</v>
      </c>
      <c r="AJ40" s="63">
        <f t="shared" si="4"/>
        <v>28.901557051480808</v>
      </c>
      <c r="AK40" s="64">
        <f t="shared" si="5"/>
        <v>5</v>
      </c>
      <c r="AL40" s="60" t="s">
        <v>341</v>
      </c>
      <c r="AM40" s="60"/>
      <c r="AN40" s="60">
        <v>390</v>
      </c>
      <c r="AO40" s="60">
        <v>397</v>
      </c>
      <c r="AP40" s="60">
        <v>370</v>
      </c>
      <c r="AQ40" s="60">
        <v>398</v>
      </c>
      <c r="AR40" s="60"/>
      <c r="AS40" s="60"/>
      <c r="AT40" s="60"/>
      <c r="AU40" s="60"/>
      <c r="AV40" s="60">
        <v>409</v>
      </c>
      <c r="AW40" s="61" t="s">
        <v>1972</v>
      </c>
      <c r="AX40" s="60">
        <v>370</v>
      </c>
      <c r="AY40" s="60">
        <v>409</v>
      </c>
      <c r="AZ40" s="63"/>
      <c r="BA40" s="63"/>
      <c r="BB40" s="63"/>
      <c r="BC40" s="63"/>
      <c r="BD40" s="60" t="s">
        <v>157</v>
      </c>
      <c r="BE40" s="60" t="s">
        <v>452</v>
      </c>
      <c r="BF40" s="60" t="s">
        <v>453</v>
      </c>
      <c r="BG40" s="60" t="s">
        <v>454</v>
      </c>
      <c r="BH40" s="60" t="s">
        <v>161</v>
      </c>
      <c r="BI40" s="60" t="s">
        <v>231</v>
      </c>
      <c r="BJ40" s="60" t="s">
        <v>219</v>
      </c>
      <c r="BK40" s="60" t="s">
        <v>164</v>
      </c>
      <c r="BL40" s="60" t="s">
        <v>258</v>
      </c>
      <c r="BM40" s="61" t="s">
        <v>1865</v>
      </c>
      <c r="BN40" s="60" t="s">
        <v>455</v>
      </c>
      <c r="BO40" s="60" t="s">
        <v>456</v>
      </c>
      <c r="BP40" s="64">
        <v>3</v>
      </c>
      <c r="BQ40" s="64">
        <v>3</v>
      </c>
      <c r="BR40" s="60" t="s">
        <v>457</v>
      </c>
      <c r="BS40" s="60" t="s">
        <v>458</v>
      </c>
      <c r="BT40" s="60" t="s">
        <v>459</v>
      </c>
      <c r="BU40" s="60" t="s">
        <v>460</v>
      </c>
      <c r="BV40" s="60" t="s">
        <v>461</v>
      </c>
    </row>
    <row r="41" spans="1:74" ht="78" customHeight="1">
      <c r="A41" s="41" t="s">
        <v>462</v>
      </c>
      <c r="B41" s="42" t="s">
        <v>248</v>
      </c>
      <c r="C41" s="42" t="s">
        <v>140</v>
      </c>
      <c r="D41" s="42" t="s">
        <v>463</v>
      </c>
      <c r="E41" s="42" t="s">
        <v>172</v>
      </c>
      <c r="F41" s="15">
        <v>83</v>
      </c>
      <c r="G41" s="15">
        <v>84</v>
      </c>
      <c r="H41" s="15">
        <v>84</v>
      </c>
      <c r="I41" s="42" t="s">
        <v>393</v>
      </c>
      <c r="J41" s="42" t="s">
        <v>464</v>
      </c>
      <c r="K41" s="42" t="s">
        <v>145</v>
      </c>
      <c r="L41" s="42" t="s">
        <v>146</v>
      </c>
      <c r="M41" s="42" t="s">
        <v>147</v>
      </c>
      <c r="N41" s="42" t="s">
        <v>148</v>
      </c>
      <c r="O41" s="42" t="s">
        <v>465</v>
      </c>
      <c r="P41" s="42" t="s">
        <v>466</v>
      </c>
      <c r="Q41" s="42" t="s">
        <v>467</v>
      </c>
      <c r="R41" s="42" t="s">
        <v>140</v>
      </c>
      <c r="S41" s="42">
        <v>1</v>
      </c>
      <c r="T41" s="42">
        <v>1</v>
      </c>
      <c r="U41" s="43" t="s">
        <v>2420</v>
      </c>
      <c r="V41" s="42" t="s">
        <v>240</v>
      </c>
      <c r="W41" s="43" t="s">
        <v>1929</v>
      </c>
      <c r="X41" s="43" t="s">
        <v>1930</v>
      </c>
      <c r="Y41" s="42" t="s">
        <v>41</v>
      </c>
      <c r="Z41" s="42" t="s">
        <v>41</v>
      </c>
      <c r="AA41" s="43" t="s">
        <v>1869</v>
      </c>
      <c r="AB41" s="44">
        <v>1.5</v>
      </c>
      <c r="AC41" s="42">
        <v>2026</v>
      </c>
      <c r="AD41" s="45">
        <v>381</v>
      </c>
      <c r="AE41" s="45">
        <v>389</v>
      </c>
      <c r="AF41" s="45">
        <v>338</v>
      </c>
      <c r="AG41" s="45">
        <v>323</v>
      </c>
      <c r="AH41" s="45">
        <v>324</v>
      </c>
      <c r="AI41" s="45">
        <f t="shared" si="3"/>
        <v>351</v>
      </c>
      <c r="AJ41" s="45">
        <f t="shared" si="4"/>
        <v>31.725384158430611</v>
      </c>
      <c r="AK41" s="46">
        <f t="shared" si="5"/>
        <v>5</v>
      </c>
      <c r="AL41" s="42" t="s">
        <v>341</v>
      </c>
      <c r="AM41" s="42"/>
      <c r="AN41" s="42">
        <v>389</v>
      </c>
      <c r="AO41" s="42">
        <v>364</v>
      </c>
      <c r="AP41" s="42">
        <v>323</v>
      </c>
      <c r="AQ41" s="42">
        <v>379</v>
      </c>
      <c r="AR41" s="42"/>
      <c r="AS41" s="42"/>
      <c r="AT41" s="42"/>
      <c r="AU41" s="42">
        <v>354</v>
      </c>
      <c r="AV41" s="42">
        <v>399.5</v>
      </c>
      <c r="AW41" s="43" t="s">
        <v>1975</v>
      </c>
      <c r="AX41" s="42">
        <v>323</v>
      </c>
      <c r="AY41" s="42">
        <v>376.75</v>
      </c>
      <c r="AZ41" s="45"/>
      <c r="BA41" s="45"/>
      <c r="BB41" s="45"/>
      <c r="BC41" s="45"/>
      <c r="BD41" s="42" t="s">
        <v>157</v>
      </c>
      <c r="BE41" s="42" t="s">
        <v>468</v>
      </c>
      <c r="BF41" s="42" t="s">
        <v>469</v>
      </c>
      <c r="BG41" s="42" t="s">
        <v>470</v>
      </c>
      <c r="BH41" s="42" t="s">
        <v>161</v>
      </c>
      <c r="BI41" s="42" t="s">
        <v>162</v>
      </c>
      <c r="BJ41" s="42" t="s">
        <v>471</v>
      </c>
      <c r="BK41" s="42" t="s">
        <v>164</v>
      </c>
      <c r="BL41" s="42" t="s">
        <v>258</v>
      </c>
      <c r="BM41" s="43" t="s">
        <v>1865</v>
      </c>
      <c r="BN41" s="42" t="s">
        <v>247</v>
      </c>
      <c r="BO41" s="42" t="s">
        <v>472</v>
      </c>
      <c r="BP41" s="46">
        <v>1</v>
      </c>
      <c r="BQ41" s="46">
        <v>1</v>
      </c>
      <c r="BR41" s="42" t="s">
        <v>473</v>
      </c>
      <c r="BS41" s="42" t="s">
        <v>474</v>
      </c>
      <c r="BT41" s="42" t="s">
        <v>475</v>
      </c>
      <c r="BU41" s="42" t="s">
        <v>476</v>
      </c>
      <c r="BV41" s="42" t="s">
        <v>477</v>
      </c>
    </row>
    <row r="42" spans="1:74" ht="78" customHeight="1">
      <c r="A42" s="59" t="s">
        <v>478</v>
      </c>
      <c r="B42" s="60" t="s">
        <v>248</v>
      </c>
      <c r="C42" s="60" t="s">
        <v>140</v>
      </c>
      <c r="D42" s="60" t="s">
        <v>479</v>
      </c>
      <c r="E42" s="60" t="s">
        <v>142</v>
      </c>
      <c r="F42" s="15">
        <v>82</v>
      </c>
      <c r="G42" s="15">
        <v>82</v>
      </c>
      <c r="H42" s="15">
        <v>85</v>
      </c>
      <c r="I42" s="60" t="s">
        <v>393</v>
      </c>
      <c r="J42" s="60" t="s">
        <v>480</v>
      </c>
      <c r="K42" s="60" t="s">
        <v>145</v>
      </c>
      <c r="L42" s="60" t="s">
        <v>146</v>
      </c>
      <c r="M42" s="60" t="s">
        <v>147</v>
      </c>
      <c r="N42" s="60" t="s">
        <v>148</v>
      </c>
      <c r="O42" s="60" t="s">
        <v>149</v>
      </c>
      <c r="P42" s="60" t="s">
        <v>150</v>
      </c>
      <c r="Q42" s="60" t="s">
        <v>151</v>
      </c>
      <c r="R42" s="60" t="s">
        <v>248</v>
      </c>
      <c r="S42" s="60">
        <v>0</v>
      </c>
      <c r="T42" s="60">
        <v>0</v>
      </c>
      <c r="U42" s="61" t="s">
        <v>2421</v>
      </c>
      <c r="V42" s="60" t="s">
        <v>168</v>
      </c>
      <c r="W42" s="61" t="s">
        <v>1939</v>
      </c>
      <c r="X42" s="61" t="s">
        <v>1940</v>
      </c>
      <c r="Y42" s="60" t="s">
        <v>41</v>
      </c>
      <c r="Z42" s="60" t="s">
        <v>41</v>
      </c>
      <c r="AA42" s="61" t="s">
        <v>1869</v>
      </c>
      <c r="AB42" s="62">
        <v>1.1764705882352942</v>
      </c>
      <c r="AC42" s="60">
        <v>2026</v>
      </c>
      <c r="AD42" s="63">
        <v>388</v>
      </c>
      <c r="AE42" s="63">
        <v>388</v>
      </c>
      <c r="AF42" s="63">
        <v>338</v>
      </c>
      <c r="AG42" s="63">
        <v>323</v>
      </c>
      <c r="AH42" s="63">
        <v>324</v>
      </c>
      <c r="AI42" s="63">
        <f t="shared" si="3"/>
        <v>352.2</v>
      </c>
      <c r="AJ42" s="63">
        <f t="shared" si="4"/>
        <v>33.214454684670045</v>
      </c>
      <c r="AK42" s="64">
        <f t="shared" si="5"/>
        <v>5</v>
      </c>
      <c r="AL42" s="60" t="s">
        <v>481</v>
      </c>
      <c r="AM42" s="60">
        <v>406</v>
      </c>
      <c r="AN42" s="60">
        <v>388</v>
      </c>
      <c r="AO42" s="60">
        <v>370</v>
      </c>
      <c r="AP42" s="60">
        <v>363</v>
      </c>
      <c r="AQ42" s="60">
        <v>341</v>
      </c>
      <c r="AR42" s="60"/>
      <c r="AS42" s="60">
        <v>399</v>
      </c>
      <c r="AT42" s="60">
        <v>399</v>
      </c>
      <c r="AU42" s="60">
        <v>382</v>
      </c>
      <c r="AV42" s="60">
        <v>402</v>
      </c>
      <c r="AW42" s="61" t="s">
        <v>1969</v>
      </c>
      <c r="AX42" s="60">
        <v>341</v>
      </c>
      <c r="AY42" s="60">
        <v>399</v>
      </c>
      <c r="AZ42" s="63"/>
      <c r="BA42" s="63"/>
      <c r="BB42" s="63"/>
      <c r="BC42" s="63"/>
      <c r="BD42" s="60" t="s">
        <v>157</v>
      </c>
      <c r="BE42" s="60" t="s">
        <v>482</v>
      </c>
      <c r="BF42" s="60" t="s">
        <v>159</v>
      </c>
      <c r="BG42" s="60" t="s">
        <v>160</v>
      </c>
      <c r="BH42" s="60" t="s">
        <v>161</v>
      </c>
      <c r="BI42" s="60" t="s">
        <v>162</v>
      </c>
      <c r="BJ42" s="60" t="s">
        <v>296</v>
      </c>
      <c r="BK42" s="60" t="s">
        <v>164</v>
      </c>
      <c r="BL42" s="60" t="s">
        <v>165</v>
      </c>
      <c r="BM42" s="61" t="s">
        <v>1865</v>
      </c>
      <c r="BN42" s="60" t="s">
        <v>483</v>
      </c>
      <c r="BO42" s="60" t="s">
        <v>167</v>
      </c>
      <c r="BP42" s="64">
        <v>0</v>
      </c>
      <c r="BQ42" s="64">
        <v>0</v>
      </c>
      <c r="BR42" s="60"/>
      <c r="BS42" s="60" t="s">
        <v>168</v>
      </c>
      <c r="BT42" s="60" t="s">
        <v>169</v>
      </c>
      <c r="BU42" s="60" t="s">
        <v>170</v>
      </c>
      <c r="BV42" s="60"/>
    </row>
    <row r="43" spans="1:74" ht="78" customHeight="1">
      <c r="A43" s="53" t="s">
        <v>491</v>
      </c>
      <c r="B43" s="54" t="s">
        <v>248</v>
      </c>
      <c r="C43" s="54" t="s">
        <v>140</v>
      </c>
      <c r="D43" s="54" t="s">
        <v>209</v>
      </c>
      <c r="E43" s="54" t="s">
        <v>172</v>
      </c>
      <c r="F43" s="15">
        <v>82</v>
      </c>
      <c r="G43" s="15">
        <v>83</v>
      </c>
      <c r="H43" s="15">
        <v>83</v>
      </c>
      <c r="I43" s="54" t="s">
        <v>393</v>
      </c>
      <c r="J43" s="54" t="s">
        <v>492</v>
      </c>
      <c r="K43" s="54" t="s">
        <v>145</v>
      </c>
      <c r="L43" s="54" t="s">
        <v>146</v>
      </c>
      <c r="M43" s="54" t="s">
        <v>147</v>
      </c>
      <c r="N43" s="54" t="s">
        <v>148</v>
      </c>
      <c r="O43" s="54" t="s">
        <v>149</v>
      </c>
      <c r="P43" s="54" t="s">
        <v>150</v>
      </c>
      <c r="Q43" s="54" t="s">
        <v>151</v>
      </c>
      <c r="R43" s="54" t="s">
        <v>140</v>
      </c>
      <c r="S43" s="54">
        <v>1</v>
      </c>
      <c r="T43" s="54">
        <v>1</v>
      </c>
      <c r="U43" s="55" t="s">
        <v>2422</v>
      </c>
      <c r="V43" s="54" t="s">
        <v>240</v>
      </c>
      <c r="W43" s="55" t="s">
        <v>1926</v>
      </c>
      <c r="X43" s="55" t="s">
        <v>1927</v>
      </c>
      <c r="Y43" s="54" t="s">
        <v>41</v>
      </c>
      <c r="Z43" s="54" t="s">
        <v>41</v>
      </c>
      <c r="AA43" s="55" t="s">
        <v>1869</v>
      </c>
      <c r="AB43" s="56">
        <v>1.25</v>
      </c>
      <c r="AC43" s="54">
        <v>2026</v>
      </c>
      <c r="AD43" s="57"/>
      <c r="AE43" s="57"/>
      <c r="AF43" s="57"/>
      <c r="AG43" s="57">
        <v>323</v>
      </c>
      <c r="AH43" s="57">
        <v>324</v>
      </c>
      <c r="AI43" s="57">
        <f t="shared" si="3"/>
        <v>323.5</v>
      </c>
      <c r="AJ43" s="57">
        <f t="shared" si="4"/>
        <v>0.70710678118654757</v>
      </c>
      <c r="AK43" s="58">
        <f t="shared" si="5"/>
        <v>2</v>
      </c>
      <c r="AL43" s="54" t="s">
        <v>445</v>
      </c>
      <c r="AM43" s="54"/>
      <c r="AN43" s="54"/>
      <c r="AO43" s="54"/>
      <c r="AP43" s="54">
        <v>328</v>
      </c>
      <c r="AQ43" s="54">
        <v>361</v>
      </c>
      <c r="AR43" s="54"/>
      <c r="AS43" s="54"/>
      <c r="AT43" s="54"/>
      <c r="AU43" s="54">
        <v>366</v>
      </c>
      <c r="AV43" s="54">
        <v>386.5</v>
      </c>
      <c r="AW43" s="55" t="s">
        <v>1975</v>
      </c>
      <c r="AX43" s="54">
        <v>328</v>
      </c>
      <c r="AY43" s="54">
        <v>376.25</v>
      </c>
      <c r="AZ43" s="57"/>
      <c r="BA43" s="57"/>
      <c r="BB43" s="57"/>
      <c r="BC43" s="57"/>
      <c r="BD43" s="54" t="s">
        <v>157</v>
      </c>
      <c r="BE43" s="54" t="s">
        <v>493</v>
      </c>
      <c r="BF43" s="54" t="s">
        <v>182</v>
      </c>
      <c r="BG43" s="54" t="s">
        <v>256</v>
      </c>
      <c r="BH43" s="54" t="s">
        <v>161</v>
      </c>
      <c r="BI43" s="54" t="s">
        <v>361</v>
      </c>
      <c r="BJ43" s="54" t="s">
        <v>361</v>
      </c>
      <c r="BK43" s="54" t="s">
        <v>362</v>
      </c>
      <c r="BL43" s="54" t="s">
        <v>258</v>
      </c>
      <c r="BM43" s="55" t="s">
        <v>1865</v>
      </c>
      <c r="BN43" s="54" t="s">
        <v>348</v>
      </c>
      <c r="BO43" s="54" t="s">
        <v>167</v>
      </c>
      <c r="BP43" s="58">
        <v>0</v>
      </c>
      <c r="BQ43" s="58">
        <v>0</v>
      </c>
      <c r="BR43" s="54"/>
      <c r="BS43" s="54" t="s">
        <v>168</v>
      </c>
      <c r="BT43" s="54" t="s">
        <v>169</v>
      </c>
      <c r="BU43" s="54" t="s">
        <v>170</v>
      </c>
      <c r="BV43" s="54"/>
    </row>
    <row r="44" spans="1:74" ht="78" customHeight="1">
      <c r="A44" s="41" t="s">
        <v>494</v>
      </c>
      <c r="B44" s="42" t="s">
        <v>248</v>
      </c>
      <c r="C44" s="42" t="s">
        <v>140</v>
      </c>
      <c r="D44" s="42" t="s">
        <v>495</v>
      </c>
      <c r="E44" s="42" t="s">
        <v>172</v>
      </c>
      <c r="F44" s="15">
        <v>82</v>
      </c>
      <c r="G44" s="15">
        <v>83</v>
      </c>
      <c r="H44" s="15">
        <v>83</v>
      </c>
      <c r="I44" s="42" t="s">
        <v>393</v>
      </c>
      <c r="J44" s="42" t="s">
        <v>496</v>
      </c>
      <c r="K44" s="42" t="s">
        <v>145</v>
      </c>
      <c r="L44" s="42" t="s">
        <v>146</v>
      </c>
      <c r="M44" s="42" t="s">
        <v>147</v>
      </c>
      <c r="N44" s="42" t="s">
        <v>148</v>
      </c>
      <c r="O44" s="42" t="s">
        <v>149</v>
      </c>
      <c r="P44" s="42" t="s">
        <v>150</v>
      </c>
      <c r="Q44" s="42" t="s">
        <v>151</v>
      </c>
      <c r="R44" s="42" t="s">
        <v>140</v>
      </c>
      <c r="S44" s="42">
        <v>1</v>
      </c>
      <c r="T44" s="42">
        <v>1</v>
      </c>
      <c r="U44" s="43" t="s">
        <v>2423</v>
      </c>
      <c r="V44" s="42" t="s">
        <v>240</v>
      </c>
      <c r="W44" s="43" t="s">
        <v>1923</v>
      </c>
      <c r="X44" s="43" t="s">
        <v>1924</v>
      </c>
      <c r="Y44" s="42" t="s">
        <v>41</v>
      </c>
      <c r="Z44" s="42" t="s">
        <v>41</v>
      </c>
      <c r="AA44" s="43" t="s">
        <v>1869</v>
      </c>
      <c r="AB44" s="44"/>
      <c r="AC44" s="42"/>
      <c r="AD44" s="45"/>
      <c r="AE44" s="45"/>
      <c r="AF44" s="45">
        <v>338</v>
      </c>
      <c r="AG44" s="45">
        <v>323</v>
      </c>
      <c r="AH44" s="45">
        <v>324</v>
      </c>
      <c r="AI44" s="45">
        <f t="shared" si="3"/>
        <v>328.33333333333331</v>
      </c>
      <c r="AJ44" s="45">
        <f t="shared" si="4"/>
        <v>8.3864970836060841</v>
      </c>
      <c r="AK44" s="46">
        <f t="shared" si="5"/>
        <v>3</v>
      </c>
      <c r="AL44" s="42" t="s">
        <v>341</v>
      </c>
      <c r="AM44" s="42"/>
      <c r="AN44" s="42">
        <v>357</v>
      </c>
      <c r="AO44" s="42">
        <v>359</v>
      </c>
      <c r="AP44" s="42">
        <v>331</v>
      </c>
      <c r="AQ44" s="42">
        <v>341</v>
      </c>
      <c r="AR44" s="42"/>
      <c r="AS44" s="42"/>
      <c r="AT44" s="42"/>
      <c r="AU44" s="42"/>
      <c r="AV44" s="42">
        <v>359</v>
      </c>
      <c r="AW44" s="43" t="s">
        <v>1972</v>
      </c>
      <c r="AX44" s="42">
        <v>331</v>
      </c>
      <c r="AY44" s="42">
        <v>359</v>
      </c>
      <c r="AZ44" s="45"/>
      <c r="BA44" s="45"/>
      <c r="BB44" s="45"/>
      <c r="BC44" s="45"/>
      <c r="BD44" s="42" t="s">
        <v>157</v>
      </c>
      <c r="BE44" s="42" t="s">
        <v>497</v>
      </c>
      <c r="BF44" s="42" t="s">
        <v>182</v>
      </c>
      <c r="BG44" s="42" t="s">
        <v>498</v>
      </c>
      <c r="BH44" s="42" t="s">
        <v>161</v>
      </c>
      <c r="BI44" s="42" t="s">
        <v>162</v>
      </c>
      <c r="BJ44" s="42" t="s">
        <v>499</v>
      </c>
      <c r="BK44" s="42" t="s">
        <v>164</v>
      </c>
      <c r="BL44" s="42" t="s">
        <v>258</v>
      </c>
      <c r="BM44" s="43" t="s">
        <v>1865</v>
      </c>
      <c r="BN44" s="42" t="s">
        <v>500</v>
      </c>
      <c r="BO44" s="42" t="s">
        <v>167</v>
      </c>
      <c r="BP44" s="46">
        <v>0</v>
      </c>
      <c r="BQ44" s="46">
        <v>0</v>
      </c>
      <c r="BR44" s="42"/>
      <c r="BS44" s="42" t="s">
        <v>168</v>
      </c>
      <c r="BT44" s="42" t="s">
        <v>169</v>
      </c>
      <c r="BU44" s="42" t="s">
        <v>170</v>
      </c>
      <c r="BV44" s="42"/>
    </row>
    <row r="45" spans="1:74" ht="78" customHeight="1">
      <c r="A45" s="47" t="s">
        <v>501</v>
      </c>
      <c r="B45" s="48" t="s">
        <v>248</v>
      </c>
      <c r="C45" s="48" t="s">
        <v>140</v>
      </c>
      <c r="D45" s="48" t="s">
        <v>193</v>
      </c>
      <c r="E45" s="48" t="s">
        <v>172</v>
      </c>
      <c r="F45" s="15">
        <v>81</v>
      </c>
      <c r="G45" s="15">
        <v>81</v>
      </c>
      <c r="H45" s="15">
        <v>81</v>
      </c>
      <c r="I45" s="48" t="s">
        <v>393</v>
      </c>
      <c r="J45" s="48" t="s">
        <v>502</v>
      </c>
      <c r="K45" s="48" t="s">
        <v>145</v>
      </c>
      <c r="L45" s="48" t="s">
        <v>146</v>
      </c>
      <c r="M45" s="48" t="s">
        <v>147</v>
      </c>
      <c r="N45" s="48" t="s">
        <v>148</v>
      </c>
      <c r="O45" s="48" t="s">
        <v>149</v>
      </c>
      <c r="P45" s="48" t="s">
        <v>150</v>
      </c>
      <c r="Q45" s="48" t="s">
        <v>151</v>
      </c>
      <c r="R45" s="48" t="s">
        <v>140</v>
      </c>
      <c r="S45" s="48">
        <v>1</v>
      </c>
      <c r="T45" s="48">
        <v>1</v>
      </c>
      <c r="U45" s="49" t="s">
        <v>2424</v>
      </c>
      <c r="V45" s="48" t="s">
        <v>240</v>
      </c>
      <c r="W45" s="49" t="s">
        <v>1867</v>
      </c>
      <c r="X45" s="49" t="s">
        <v>1919</v>
      </c>
      <c r="Y45" s="48" t="s">
        <v>41</v>
      </c>
      <c r="Z45" s="48" t="s">
        <v>41</v>
      </c>
      <c r="AA45" s="49" t="s">
        <v>1869</v>
      </c>
      <c r="AB45" s="50">
        <v>1.0526315789473684</v>
      </c>
      <c r="AC45" s="48">
        <v>2026</v>
      </c>
      <c r="AD45" s="51">
        <v>360</v>
      </c>
      <c r="AE45" s="51">
        <v>364</v>
      </c>
      <c r="AF45" s="51">
        <v>338</v>
      </c>
      <c r="AG45" s="51">
        <v>323</v>
      </c>
      <c r="AH45" s="51">
        <v>324</v>
      </c>
      <c r="AI45" s="51">
        <f t="shared" si="3"/>
        <v>341.8</v>
      </c>
      <c r="AJ45" s="51">
        <f t="shared" si="4"/>
        <v>19.421637418096342</v>
      </c>
      <c r="AK45" s="52">
        <f t="shared" si="5"/>
        <v>5</v>
      </c>
      <c r="AL45" s="48" t="s">
        <v>341</v>
      </c>
      <c r="AM45" s="48"/>
      <c r="AN45" s="48"/>
      <c r="AO45" s="48">
        <v>381</v>
      </c>
      <c r="AP45" s="48">
        <v>380</v>
      </c>
      <c r="AQ45" s="48">
        <v>381</v>
      </c>
      <c r="AR45" s="48">
        <v>399</v>
      </c>
      <c r="AS45" s="48"/>
      <c r="AT45" s="48">
        <v>403</v>
      </c>
      <c r="AU45" s="48">
        <v>396</v>
      </c>
      <c r="AV45" s="48">
        <v>405</v>
      </c>
      <c r="AW45" s="49" t="s">
        <v>1971</v>
      </c>
      <c r="AX45" s="48">
        <v>380</v>
      </c>
      <c r="AY45" s="48">
        <v>401</v>
      </c>
      <c r="AZ45" s="51"/>
      <c r="BA45" s="51"/>
      <c r="BB45" s="51"/>
      <c r="BC45" s="51"/>
      <c r="BD45" s="48" t="s">
        <v>157</v>
      </c>
      <c r="BE45" s="48" t="s">
        <v>503</v>
      </c>
      <c r="BF45" s="48" t="s">
        <v>504</v>
      </c>
      <c r="BG45" s="48" t="s">
        <v>505</v>
      </c>
      <c r="BH45" s="48" t="s">
        <v>161</v>
      </c>
      <c r="BI45" s="48" t="s">
        <v>162</v>
      </c>
      <c r="BJ45" s="48" t="s">
        <v>219</v>
      </c>
      <c r="BK45" s="48" t="s">
        <v>164</v>
      </c>
      <c r="BL45" s="48" t="s">
        <v>258</v>
      </c>
      <c r="BM45" s="49" t="s">
        <v>1865</v>
      </c>
      <c r="BN45" s="48" t="s">
        <v>247</v>
      </c>
      <c r="BO45" s="48" t="s">
        <v>506</v>
      </c>
      <c r="BP45" s="52">
        <v>0</v>
      </c>
      <c r="BQ45" s="52">
        <v>0</v>
      </c>
      <c r="BR45" s="48" t="s">
        <v>507</v>
      </c>
      <c r="BS45" s="48" t="s">
        <v>508</v>
      </c>
      <c r="BT45" s="48" t="s">
        <v>509</v>
      </c>
      <c r="BU45" s="48" t="s">
        <v>207</v>
      </c>
      <c r="BV45" s="48" t="s">
        <v>510</v>
      </c>
    </row>
    <row r="46" spans="1:74" ht="78" customHeight="1">
      <c r="A46" s="59" t="s">
        <v>511</v>
      </c>
      <c r="B46" s="60" t="s">
        <v>248</v>
      </c>
      <c r="C46" s="60" t="s">
        <v>140</v>
      </c>
      <c r="D46" s="60" t="s">
        <v>512</v>
      </c>
      <c r="E46" s="60" t="s">
        <v>172</v>
      </c>
      <c r="F46" s="15">
        <v>80</v>
      </c>
      <c r="G46" s="15">
        <v>80</v>
      </c>
      <c r="H46" s="15">
        <v>80</v>
      </c>
      <c r="I46" s="60" t="s">
        <v>393</v>
      </c>
      <c r="J46" s="60" t="s">
        <v>513</v>
      </c>
      <c r="K46" s="60" t="s">
        <v>145</v>
      </c>
      <c r="L46" s="60" t="s">
        <v>195</v>
      </c>
      <c r="M46" s="60" t="s">
        <v>147</v>
      </c>
      <c r="N46" s="60" t="s">
        <v>148</v>
      </c>
      <c r="O46" s="60" t="s">
        <v>149</v>
      </c>
      <c r="P46" s="60" t="s">
        <v>150</v>
      </c>
      <c r="Q46" s="60" t="s">
        <v>151</v>
      </c>
      <c r="R46" s="60" t="s">
        <v>140</v>
      </c>
      <c r="S46" s="60">
        <v>1</v>
      </c>
      <c r="T46" s="60">
        <v>1</v>
      </c>
      <c r="U46" s="61" t="s">
        <v>2425</v>
      </c>
      <c r="V46" s="60" t="s">
        <v>240</v>
      </c>
      <c r="W46" s="61" t="s">
        <v>1950</v>
      </c>
      <c r="X46" s="61" t="s">
        <v>1951</v>
      </c>
      <c r="Y46" s="60" t="s">
        <v>41</v>
      </c>
      <c r="Z46" s="60" t="s">
        <v>41</v>
      </c>
      <c r="AA46" s="61" t="s">
        <v>1869</v>
      </c>
      <c r="AB46" s="62">
        <v>1.3478260869565215</v>
      </c>
      <c r="AC46" s="60">
        <v>2026</v>
      </c>
      <c r="AD46" s="63">
        <v>365</v>
      </c>
      <c r="AE46" s="63">
        <v>346</v>
      </c>
      <c r="AF46" s="63">
        <v>338</v>
      </c>
      <c r="AG46" s="63">
        <v>323</v>
      </c>
      <c r="AH46" s="63">
        <v>324</v>
      </c>
      <c r="AI46" s="63">
        <f t="shared" si="3"/>
        <v>339.2</v>
      </c>
      <c r="AJ46" s="63">
        <f t="shared" si="4"/>
        <v>17.369513522260778</v>
      </c>
      <c r="AK46" s="64">
        <f t="shared" si="5"/>
        <v>5</v>
      </c>
      <c r="AL46" s="60" t="s">
        <v>341</v>
      </c>
      <c r="AM46" s="60"/>
      <c r="AN46" s="60">
        <v>352</v>
      </c>
      <c r="AO46" s="60">
        <v>369</v>
      </c>
      <c r="AP46" s="60">
        <v>337</v>
      </c>
      <c r="AQ46" s="60">
        <v>357</v>
      </c>
      <c r="AR46" s="60"/>
      <c r="AS46" s="60"/>
      <c r="AT46" s="60"/>
      <c r="AU46" s="60">
        <v>357</v>
      </c>
      <c r="AV46" s="60">
        <v>386</v>
      </c>
      <c r="AW46" s="61" t="s">
        <v>1975</v>
      </c>
      <c r="AX46" s="60">
        <v>337</v>
      </c>
      <c r="AY46" s="60">
        <v>371.5</v>
      </c>
      <c r="AZ46" s="63"/>
      <c r="BA46" s="63"/>
      <c r="BB46" s="63"/>
      <c r="BC46" s="63"/>
      <c r="BD46" s="60" t="s">
        <v>157</v>
      </c>
      <c r="BE46" s="60" t="s">
        <v>514</v>
      </c>
      <c r="BF46" s="60" t="s">
        <v>217</v>
      </c>
      <c r="BG46" s="60" t="s">
        <v>329</v>
      </c>
      <c r="BH46" s="60" t="s">
        <v>161</v>
      </c>
      <c r="BI46" s="60" t="s">
        <v>231</v>
      </c>
      <c r="BJ46" s="60" t="s">
        <v>219</v>
      </c>
      <c r="BK46" s="60" t="s">
        <v>164</v>
      </c>
      <c r="BL46" s="60" t="s">
        <v>258</v>
      </c>
      <c r="BM46" s="61" t="s">
        <v>1865</v>
      </c>
      <c r="BN46" s="60" t="s">
        <v>515</v>
      </c>
      <c r="BO46" s="60" t="s">
        <v>167</v>
      </c>
      <c r="BP46" s="64">
        <v>0</v>
      </c>
      <c r="BQ46" s="64">
        <v>0</v>
      </c>
      <c r="BR46" s="60"/>
      <c r="BS46" s="60" t="s">
        <v>168</v>
      </c>
      <c r="BT46" s="60" t="s">
        <v>169</v>
      </c>
      <c r="BU46" s="60" t="s">
        <v>170</v>
      </c>
      <c r="BV46" s="60"/>
    </row>
    <row r="47" spans="1:74" ht="78" customHeight="1">
      <c r="A47" s="59" t="s">
        <v>516</v>
      </c>
      <c r="B47" s="60" t="s">
        <v>248</v>
      </c>
      <c r="C47" s="60" t="s">
        <v>140</v>
      </c>
      <c r="D47" s="60" t="s">
        <v>259</v>
      </c>
      <c r="E47" s="60" t="s">
        <v>172</v>
      </c>
      <c r="F47" s="15">
        <v>80</v>
      </c>
      <c r="G47" s="15">
        <v>80</v>
      </c>
      <c r="H47" s="15">
        <v>80</v>
      </c>
      <c r="I47" s="60" t="s">
        <v>393</v>
      </c>
      <c r="J47" s="60" t="s">
        <v>517</v>
      </c>
      <c r="K47" s="60" t="s">
        <v>145</v>
      </c>
      <c r="L47" s="60" t="s">
        <v>146</v>
      </c>
      <c r="M47" s="60" t="s">
        <v>147</v>
      </c>
      <c r="N47" s="60" t="s">
        <v>148</v>
      </c>
      <c r="O47" s="60" t="s">
        <v>149</v>
      </c>
      <c r="P47" s="60" t="s">
        <v>150</v>
      </c>
      <c r="Q47" s="60" t="s">
        <v>151</v>
      </c>
      <c r="R47" s="60" t="s">
        <v>140</v>
      </c>
      <c r="S47" s="60">
        <v>1</v>
      </c>
      <c r="T47" s="60">
        <v>1</v>
      </c>
      <c r="U47" s="61" t="s">
        <v>2426</v>
      </c>
      <c r="V47" s="60" t="s">
        <v>240</v>
      </c>
      <c r="W47" s="61" t="s">
        <v>1931</v>
      </c>
      <c r="X47" s="61" t="s">
        <v>1932</v>
      </c>
      <c r="Y47" s="60" t="s">
        <v>41</v>
      </c>
      <c r="Z47" s="60" t="s">
        <v>41</v>
      </c>
      <c r="AA47" s="61" t="s">
        <v>1869</v>
      </c>
      <c r="AB47" s="62">
        <v>1.3333333333333333</v>
      </c>
      <c r="AC47" s="60">
        <v>2026</v>
      </c>
      <c r="AD47" s="63">
        <v>369</v>
      </c>
      <c r="AE47" s="63">
        <v>379</v>
      </c>
      <c r="AF47" s="63">
        <v>338</v>
      </c>
      <c r="AG47" s="63">
        <v>323</v>
      </c>
      <c r="AH47" s="63">
        <v>324</v>
      </c>
      <c r="AI47" s="63">
        <f t="shared" si="3"/>
        <v>346.6</v>
      </c>
      <c r="AJ47" s="63">
        <f t="shared" si="4"/>
        <v>25.948024973010952</v>
      </c>
      <c r="AK47" s="64">
        <f t="shared" si="5"/>
        <v>5</v>
      </c>
      <c r="AL47" s="60" t="s">
        <v>341</v>
      </c>
      <c r="AM47" s="60"/>
      <c r="AN47" s="60">
        <v>379</v>
      </c>
      <c r="AO47" s="60">
        <v>346</v>
      </c>
      <c r="AP47" s="60">
        <v>347</v>
      </c>
      <c r="AQ47" s="60">
        <v>359</v>
      </c>
      <c r="AR47" s="60"/>
      <c r="AS47" s="60"/>
      <c r="AT47" s="60">
        <v>384.5</v>
      </c>
      <c r="AU47" s="60"/>
      <c r="AV47" s="60">
        <v>380</v>
      </c>
      <c r="AW47" s="61" t="s">
        <v>1970</v>
      </c>
      <c r="AX47" s="60">
        <v>346</v>
      </c>
      <c r="AY47" s="60">
        <v>382.25</v>
      </c>
      <c r="AZ47" s="63"/>
      <c r="BA47" s="63"/>
      <c r="BB47" s="63"/>
      <c r="BC47" s="63"/>
      <c r="BD47" s="60" t="s">
        <v>157</v>
      </c>
      <c r="BE47" s="60" t="s">
        <v>518</v>
      </c>
      <c r="BF47" s="60" t="s">
        <v>263</v>
      </c>
      <c r="BG47" s="60" t="s">
        <v>279</v>
      </c>
      <c r="BH47" s="60" t="s">
        <v>161</v>
      </c>
      <c r="BI47" s="60" t="s">
        <v>231</v>
      </c>
      <c r="BJ47" s="60" t="s">
        <v>296</v>
      </c>
      <c r="BK47" s="60" t="s">
        <v>164</v>
      </c>
      <c r="BL47" s="60" t="s">
        <v>258</v>
      </c>
      <c r="BM47" s="61" t="s">
        <v>1865</v>
      </c>
      <c r="BN47" s="60" t="s">
        <v>274</v>
      </c>
      <c r="BO47" s="60" t="s">
        <v>167</v>
      </c>
      <c r="BP47" s="64">
        <v>0</v>
      </c>
      <c r="BQ47" s="64">
        <v>0</v>
      </c>
      <c r="BR47" s="60"/>
      <c r="BS47" s="60" t="s">
        <v>168</v>
      </c>
      <c r="BT47" s="60" t="s">
        <v>169</v>
      </c>
      <c r="BU47" s="60" t="s">
        <v>170</v>
      </c>
      <c r="BV47" s="60"/>
    </row>
    <row r="48" spans="1:74" ht="78" customHeight="1">
      <c r="A48" s="53" t="s">
        <v>519</v>
      </c>
      <c r="B48" s="54" t="s">
        <v>248</v>
      </c>
      <c r="C48" s="54" t="s">
        <v>140</v>
      </c>
      <c r="D48" s="54" t="s">
        <v>259</v>
      </c>
      <c r="E48" s="54" t="s">
        <v>172</v>
      </c>
      <c r="F48" s="15">
        <v>79</v>
      </c>
      <c r="G48" s="15">
        <v>77</v>
      </c>
      <c r="H48" s="15">
        <v>78</v>
      </c>
      <c r="I48" s="54" t="s">
        <v>520</v>
      </c>
      <c r="J48" s="54" t="s">
        <v>521</v>
      </c>
      <c r="K48" s="54" t="s">
        <v>145</v>
      </c>
      <c r="L48" s="54" t="s">
        <v>522</v>
      </c>
      <c r="M48" s="54" t="s">
        <v>147</v>
      </c>
      <c r="N48" s="54" t="s">
        <v>148</v>
      </c>
      <c r="O48" s="54" t="s">
        <v>523</v>
      </c>
      <c r="P48" s="54" t="s">
        <v>150</v>
      </c>
      <c r="Q48" s="54" t="s">
        <v>151</v>
      </c>
      <c r="R48" s="54" t="s">
        <v>248</v>
      </c>
      <c r="S48" s="54">
        <v>0</v>
      </c>
      <c r="T48" s="54">
        <v>0</v>
      </c>
      <c r="U48" s="55" t="s">
        <v>2427</v>
      </c>
      <c r="V48" s="54" t="s">
        <v>168</v>
      </c>
      <c r="W48" s="55" t="s">
        <v>1881</v>
      </c>
      <c r="X48" s="54" t="s">
        <v>524</v>
      </c>
      <c r="Y48" s="54" t="s">
        <v>41</v>
      </c>
      <c r="Z48" s="54" t="s">
        <v>41</v>
      </c>
      <c r="AA48" s="54" t="s">
        <v>525</v>
      </c>
      <c r="AB48" s="56">
        <v>1.2</v>
      </c>
      <c r="AC48" s="54">
        <v>2026</v>
      </c>
      <c r="AD48" s="57">
        <v>360</v>
      </c>
      <c r="AE48" s="57">
        <v>360</v>
      </c>
      <c r="AF48" s="57">
        <v>338</v>
      </c>
      <c r="AG48" s="57">
        <v>323</v>
      </c>
      <c r="AH48" s="57">
        <v>324</v>
      </c>
      <c r="AI48" s="57">
        <f t="shared" si="3"/>
        <v>341</v>
      </c>
      <c r="AJ48" s="57">
        <f t="shared" si="4"/>
        <v>18.330302779823359</v>
      </c>
      <c r="AK48" s="58">
        <f t="shared" si="5"/>
        <v>5</v>
      </c>
      <c r="AL48" s="54" t="s">
        <v>341</v>
      </c>
      <c r="AM48" s="54"/>
      <c r="AN48" s="54">
        <v>363</v>
      </c>
      <c r="AO48" s="54">
        <v>381</v>
      </c>
      <c r="AP48" s="54">
        <v>373</v>
      </c>
      <c r="AQ48" s="54">
        <v>364</v>
      </c>
      <c r="AR48" s="54"/>
      <c r="AS48" s="54"/>
      <c r="AT48" s="54"/>
      <c r="AU48" s="54">
        <v>390</v>
      </c>
      <c r="AV48" s="54">
        <v>386</v>
      </c>
      <c r="AW48" s="55" t="s">
        <v>1975</v>
      </c>
      <c r="AX48" s="54">
        <v>363</v>
      </c>
      <c r="AY48" s="54">
        <v>388</v>
      </c>
      <c r="AZ48" s="57"/>
      <c r="BA48" s="57"/>
      <c r="BB48" s="57"/>
      <c r="BC48" s="57"/>
      <c r="BD48" s="54" t="s">
        <v>157</v>
      </c>
      <c r="BE48" s="54" t="s">
        <v>526</v>
      </c>
      <c r="BF48" s="54" t="s">
        <v>404</v>
      </c>
      <c r="BG48" s="54" t="s">
        <v>527</v>
      </c>
      <c r="BH48" s="54" t="s">
        <v>161</v>
      </c>
      <c r="BI48" s="54" t="s">
        <v>162</v>
      </c>
      <c r="BJ48" s="54" t="s">
        <v>219</v>
      </c>
      <c r="BK48" s="54" t="s">
        <v>164</v>
      </c>
      <c r="BL48" s="54" t="s">
        <v>258</v>
      </c>
      <c r="BM48" s="55" t="s">
        <v>1865</v>
      </c>
      <c r="BN48" s="54" t="s">
        <v>247</v>
      </c>
      <c r="BO48" s="54" t="s">
        <v>167</v>
      </c>
      <c r="BP48" s="58">
        <v>0</v>
      </c>
      <c r="BQ48" s="58">
        <v>0</v>
      </c>
      <c r="BR48" s="54"/>
      <c r="BS48" s="54" t="s">
        <v>168</v>
      </c>
      <c r="BT48" s="54" t="s">
        <v>169</v>
      </c>
      <c r="BU48" s="54" t="s">
        <v>170</v>
      </c>
      <c r="BV48" s="54"/>
    </row>
    <row r="49" spans="1:74" ht="78" customHeight="1">
      <c r="A49" s="41" t="s">
        <v>528</v>
      </c>
      <c r="B49" s="42" t="s">
        <v>248</v>
      </c>
      <c r="C49" s="42" t="s">
        <v>140</v>
      </c>
      <c r="D49" s="42" t="s">
        <v>529</v>
      </c>
      <c r="E49" s="42" t="s">
        <v>142</v>
      </c>
      <c r="F49" s="15">
        <v>79</v>
      </c>
      <c r="G49" s="15">
        <v>80</v>
      </c>
      <c r="H49" s="15">
        <v>80</v>
      </c>
      <c r="I49" s="42" t="s">
        <v>520</v>
      </c>
      <c r="J49" s="42" t="s">
        <v>530</v>
      </c>
      <c r="K49" s="42" t="s">
        <v>145</v>
      </c>
      <c r="L49" s="42" t="s">
        <v>146</v>
      </c>
      <c r="M49" s="42" t="s">
        <v>147</v>
      </c>
      <c r="N49" s="42" t="s">
        <v>148</v>
      </c>
      <c r="O49" s="42" t="s">
        <v>149</v>
      </c>
      <c r="P49" s="42" t="s">
        <v>150</v>
      </c>
      <c r="Q49" s="42" t="s">
        <v>151</v>
      </c>
      <c r="R49" s="42" t="s">
        <v>140</v>
      </c>
      <c r="S49" s="42">
        <v>1</v>
      </c>
      <c r="T49" s="42">
        <v>1</v>
      </c>
      <c r="U49" s="43" t="s">
        <v>2428</v>
      </c>
      <c r="V49" s="42" t="s">
        <v>240</v>
      </c>
      <c r="W49" s="43" t="s">
        <v>1867</v>
      </c>
      <c r="X49" s="43" t="s">
        <v>1928</v>
      </c>
      <c r="Y49" s="42" t="s">
        <v>41</v>
      </c>
      <c r="Z49" s="42" t="s">
        <v>41</v>
      </c>
      <c r="AA49" s="43" t="s">
        <v>1869</v>
      </c>
      <c r="AB49" s="44"/>
      <c r="AC49" s="42"/>
      <c r="AD49" s="45">
        <v>374</v>
      </c>
      <c r="AE49" s="45">
        <v>351</v>
      </c>
      <c r="AF49" s="45">
        <v>338</v>
      </c>
      <c r="AG49" s="45">
        <v>323</v>
      </c>
      <c r="AH49" s="45">
        <v>324</v>
      </c>
      <c r="AI49" s="45">
        <f t="shared" si="3"/>
        <v>342</v>
      </c>
      <c r="AJ49" s="45">
        <f t="shared" si="4"/>
        <v>21.248529360875779</v>
      </c>
      <c r="AK49" s="46">
        <f t="shared" si="5"/>
        <v>5</v>
      </c>
      <c r="AL49" s="42" t="s">
        <v>341</v>
      </c>
      <c r="AM49" s="42"/>
      <c r="AN49" s="42">
        <v>354</v>
      </c>
      <c r="AO49" s="42">
        <v>371</v>
      </c>
      <c r="AP49" s="42">
        <v>338</v>
      </c>
      <c r="AQ49" s="42">
        <v>389</v>
      </c>
      <c r="AR49" s="42"/>
      <c r="AS49" s="42"/>
      <c r="AT49" s="42"/>
      <c r="AU49" s="42"/>
      <c r="AV49" s="42">
        <v>407</v>
      </c>
      <c r="AW49" s="43" t="s">
        <v>1972</v>
      </c>
      <c r="AX49" s="42">
        <v>338</v>
      </c>
      <c r="AY49" s="42">
        <v>407</v>
      </c>
      <c r="AZ49" s="45"/>
      <c r="BA49" s="45"/>
      <c r="BB49" s="45"/>
      <c r="BC49" s="45"/>
      <c r="BD49" s="42" t="s">
        <v>157</v>
      </c>
      <c r="BE49" s="42" t="s">
        <v>531</v>
      </c>
      <c r="BF49" s="42" t="s">
        <v>182</v>
      </c>
      <c r="BG49" s="42" t="s">
        <v>532</v>
      </c>
      <c r="BH49" s="42" t="s">
        <v>161</v>
      </c>
      <c r="BI49" s="42" t="s">
        <v>533</v>
      </c>
      <c r="BJ49" s="42" t="s">
        <v>534</v>
      </c>
      <c r="BK49" s="42" t="s">
        <v>164</v>
      </c>
      <c r="BL49" s="42" t="s">
        <v>258</v>
      </c>
      <c r="BM49" s="43" t="s">
        <v>1865</v>
      </c>
      <c r="BN49" s="42" t="s">
        <v>535</v>
      </c>
      <c r="BO49" s="42" t="s">
        <v>167</v>
      </c>
      <c r="BP49" s="46">
        <v>0</v>
      </c>
      <c r="BQ49" s="46">
        <v>0</v>
      </c>
      <c r="BR49" s="42"/>
      <c r="BS49" s="42" t="s">
        <v>168</v>
      </c>
      <c r="BT49" s="42" t="s">
        <v>169</v>
      </c>
      <c r="BU49" s="42" t="s">
        <v>170</v>
      </c>
      <c r="BV49" s="42"/>
    </row>
    <row r="50" spans="1:74" ht="78" customHeight="1">
      <c r="A50" s="41" t="s">
        <v>536</v>
      </c>
      <c r="B50" s="42" t="s">
        <v>248</v>
      </c>
      <c r="C50" s="42" t="s">
        <v>140</v>
      </c>
      <c r="D50" s="42" t="s">
        <v>537</v>
      </c>
      <c r="E50" s="42" t="s">
        <v>172</v>
      </c>
      <c r="F50" s="15">
        <v>78</v>
      </c>
      <c r="G50" s="15">
        <v>79</v>
      </c>
      <c r="H50" s="15">
        <v>79</v>
      </c>
      <c r="I50" s="42" t="s">
        <v>520</v>
      </c>
      <c r="J50" s="42" t="s">
        <v>538</v>
      </c>
      <c r="K50" s="42" t="s">
        <v>145</v>
      </c>
      <c r="L50" s="42" t="s">
        <v>146</v>
      </c>
      <c r="M50" s="42" t="s">
        <v>147</v>
      </c>
      <c r="N50" s="42" t="s">
        <v>148</v>
      </c>
      <c r="O50" s="42" t="s">
        <v>149</v>
      </c>
      <c r="P50" s="42" t="s">
        <v>150</v>
      </c>
      <c r="Q50" s="42" t="s">
        <v>151</v>
      </c>
      <c r="R50" s="42" t="s">
        <v>140</v>
      </c>
      <c r="S50" s="42">
        <v>1</v>
      </c>
      <c r="T50" s="42">
        <v>1</v>
      </c>
      <c r="U50" s="43" t="s">
        <v>2429</v>
      </c>
      <c r="V50" s="42" t="s">
        <v>240</v>
      </c>
      <c r="W50" s="43" t="s">
        <v>1867</v>
      </c>
      <c r="X50" s="43" t="s">
        <v>1943</v>
      </c>
      <c r="Y50" s="42" t="s">
        <v>41</v>
      </c>
      <c r="Z50" s="42" t="s">
        <v>41</v>
      </c>
      <c r="AA50" s="43" t="s">
        <v>1869</v>
      </c>
      <c r="AB50" s="44">
        <v>1.2307692307692308</v>
      </c>
      <c r="AC50" s="42">
        <v>2026</v>
      </c>
      <c r="AD50" s="45">
        <v>400</v>
      </c>
      <c r="AE50" s="45">
        <v>352</v>
      </c>
      <c r="AF50" s="45">
        <v>338</v>
      </c>
      <c r="AG50" s="45">
        <v>375</v>
      </c>
      <c r="AH50" s="45">
        <v>324</v>
      </c>
      <c r="AI50" s="45">
        <f t="shared" si="3"/>
        <v>357.8</v>
      </c>
      <c r="AJ50" s="45">
        <f t="shared" si="4"/>
        <v>30.186089511561448</v>
      </c>
      <c r="AK50" s="46">
        <f t="shared" si="5"/>
        <v>5</v>
      </c>
      <c r="AL50" s="42" t="s">
        <v>539</v>
      </c>
      <c r="AM50" s="42"/>
      <c r="AN50" s="42">
        <v>352</v>
      </c>
      <c r="AO50" s="42">
        <v>353</v>
      </c>
      <c r="AP50" s="42">
        <v>376</v>
      </c>
      <c r="AQ50" s="42">
        <v>398</v>
      </c>
      <c r="AR50" s="42"/>
      <c r="AS50" s="42"/>
      <c r="AT50" s="42">
        <v>379</v>
      </c>
      <c r="AU50" s="42">
        <v>390</v>
      </c>
      <c r="AV50" s="42">
        <v>401</v>
      </c>
      <c r="AW50" s="43" t="s">
        <v>1971</v>
      </c>
      <c r="AX50" s="42">
        <v>352</v>
      </c>
      <c r="AY50" s="42">
        <v>390</v>
      </c>
      <c r="AZ50" s="45"/>
      <c r="BA50" s="45"/>
      <c r="BB50" s="45"/>
      <c r="BC50" s="45"/>
      <c r="BD50" s="42" t="s">
        <v>157</v>
      </c>
      <c r="BE50" s="42" t="s">
        <v>540</v>
      </c>
      <c r="BF50" s="42" t="s">
        <v>159</v>
      </c>
      <c r="BG50" s="42" t="s">
        <v>343</v>
      </c>
      <c r="BH50" s="42" t="s">
        <v>161</v>
      </c>
      <c r="BI50" s="42" t="s">
        <v>162</v>
      </c>
      <c r="BJ50" s="42" t="s">
        <v>296</v>
      </c>
      <c r="BK50" s="42" t="s">
        <v>164</v>
      </c>
      <c r="BL50" s="42" t="s">
        <v>165</v>
      </c>
      <c r="BM50" s="43" t="s">
        <v>1865</v>
      </c>
      <c r="BN50" s="42" t="s">
        <v>541</v>
      </c>
      <c r="BO50" s="42" t="s">
        <v>167</v>
      </c>
      <c r="BP50" s="46">
        <v>0</v>
      </c>
      <c r="BQ50" s="46">
        <v>0</v>
      </c>
      <c r="BR50" s="42"/>
      <c r="BS50" s="42" t="s">
        <v>168</v>
      </c>
      <c r="BT50" s="42" t="s">
        <v>169</v>
      </c>
      <c r="BU50" s="42" t="s">
        <v>170</v>
      </c>
      <c r="BV50" s="42"/>
    </row>
    <row r="51" spans="1:74" ht="78" customHeight="1">
      <c r="A51" s="41" t="s">
        <v>556</v>
      </c>
      <c r="B51" s="42" t="s">
        <v>248</v>
      </c>
      <c r="C51" s="42" t="s">
        <v>140</v>
      </c>
      <c r="D51" s="42" t="s">
        <v>259</v>
      </c>
      <c r="E51" s="42" t="s">
        <v>172</v>
      </c>
      <c r="F51" s="15">
        <v>78</v>
      </c>
      <c r="G51" s="15">
        <v>78</v>
      </c>
      <c r="H51" s="15">
        <v>78</v>
      </c>
      <c r="I51" s="42" t="s">
        <v>520</v>
      </c>
      <c r="J51" s="42" t="s">
        <v>557</v>
      </c>
      <c r="K51" s="42" t="s">
        <v>145</v>
      </c>
      <c r="L51" s="42" t="s">
        <v>146</v>
      </c>
      <c r="M51" s="42" t="s">
        <v>147</v>
      </c>
      <c r="N51" s="42" t="s">
        <v>148</v>
      </c>
      <c r="O51" s="42" t="s">
        <v>149</v>
      </c>
      <c r="P51" s="42" t="s">
        <v>150</v>
      </c>
      <c r="Q51" s="42" t="s">
        <v>151</v>
      </c>
      <c r="R51" s="42" t="s">
        <v>248</v>
      </c>
      <c r="S51" s="42">
        <v>0</v>
      </c>
      <c r="T51" s="42">
        <v>0</v>
      </c>
      <c r="U51" s="43" t="s">
        <v>2430</v>
      </c>
      <c r="V51" s="42" t="s">
        <v>168</v>
      </c>
      <c r="W51" s="43" t="s">
        <v>1881</v>
      </c>
      <c r="X51" s="43" t="s">
        <v>1961</v>
      </c>
      <c r="Y51" s="42" t="s">
        <v>41</v>
      </c>
      <c r="Z51" s="42" t="s">
        <v>41</v>
      </c>
      <c r="AA51" s="43" t="s">
        <v>1869</v>
      </c>
      <c r="AB51" s="44">
        <v>1.2045454545454546</v>
      </c>
      <c r="AC51" s="42">
        <v>2026</v>
      </c>
      <c r="AD51" s="45">
        <v>374</v>
      </c>
      <c r="AE51" s="45">
        <v>366</v>
      </c>
      <c r="AF51" s="45">
        <v>338</v>
      </c>
      <c r="AG51" s="45">
        <v>323</v>
      </c>
      <c r="AH51" s="45">
        <v>324</v>
      </c>
      <c r="AI51" s="45">
        <f t="shared" si="3"/>
        <v>345</v>
      </c>
      <c r="AJ51" s="45">
        <f t="shared" si="4"/>
        <v>23.748684174075834</v>
      </c>
      <c r="AK51" s="46">
        <f t="shared" si="5"/>
        <v>5</v>
      </c>
      <c r="AL51" s="42" t="s">
        <v>341</v>
      </c>
      <c r="AM51" s="42"/>
      <c r="AN51" s="42"/>
      <c r="AO51" s="42">
        <v>347</v>
      </c>
      <c r="AP51" s="42">
        <v>363</v>
      </c>
      <c r="AQ51" s="42">
        <v>366</v>
      </c>
      <c r="AR51" s="42"/>
      <c r="AS51" s="42"/>
      <c r="AT51" s="42">
        <v>373</v>
      </c>
      <c r="AU51" s="42"/>
      <c r="AV51" s="42">
        <v>387</v>
      </c>
      <c r="AW51" s="43" t="s">
        <v>1970</v>
      </c>
      <c r="AX51" s="42">
        <v>347</v>
      </c>
      <c r="AY51" s="42">
        <v>380</v>
      </c>
      <c r="AZ51" s="45"/>
      <c r="BA51" s="45"/>
      <c r="BB51" s="45"/>
      <c r="BC51" s="45"/>
      <c r="BD51" s="42" t="s">
        <v>157</v>
      </c>
      <c r="BE51" s="42" t="s">
        <v>558</v>
      </c>
      <c r="BF51" s="42" t="s">
        <v>559</v>
      </c>
      <c r="BG51" s="42" t="s">
        <v>560</v>
      </c>
      <c r="BH51" s="42" t="s">
        <v>161</v>
      </c>
      <c r="BI51" s="42" t="s">
        <v>162</v>
      </c>
      <c r="BJ51" s="42" t="s">
        <v>296</v>
      </c>
      <c r="BK51" s="42" t="s">
        <v>164</v>
      </c>
      <c r="BL51" s="42" t="s">
        <v>258</v>
      </c>
      <c r="BM51" s="43" t="s">
        <v>1865</v>
      </c>
      <c r="BN51" s="42" t="s">
        <v>535</v>
      </c>
      <c r="BO51" s="42" t="s">
        <v>167</v>
      </c>
      <c r="BP51" s="46">
        <v>0</v>
      </c>
      <c r="BQ51" s="46">
        <v>0</v>
      </c>
      <c r="BR51" s="42"/>
      <c r="BS51" s="42" t="s">
        <v>168</v>
      </c>
      <c r="BT51" s="42" t="s">
        <v>169</v>
      </c>
      <c r="BU51" s="42" t="s">
        <v>170</v>
      </c>
      <c r="BV51" s="42"/>
    </row>
    <row r="52" spans="1:74" ht="78" customHeight="1">
      <c r="A52" s="41" t="s">
        <v>561</v>
      </c>
      <c r="B52" s="42" t="s">
        <v>248</v>
      </c>
      <c r="C52" s="42" t="s">
        <v>140</v>
      </c>
      <c r="D52" s="42" t="s">
        <v>562</v>
      </c>
      <c r="E52" s="42" t="s">
        <v>172</v>
      </c>
      <c r="F52" s="15">
        <v>78</v>
      </c>
      <c r="G52" s="15">
        <v>77</v>
      </c>
      <c r="H52" s="15">
        <v>78</v>
      </c>
      <c r="I52" s="42" t="s">
        <v>520</v>
      </c>
      <c r="J52" s="42" t="s">
        <v>563</v>
      </c>
      <c r="K52" s="42" t="s">
        <v>145</v>
      </c>
      <c r="L52" s="42" t="s">
        <v>146</v>
      </c>
      <c r="M52" s="42" t="s">
        <v>147</v>
      </c>
      <c r="N52" s="42" t="s">
        <v>148</v>
      </c>
      <c r="O52" s="42" t="s">
        <v>149</v>
      </c>
      <c r="P52" s="42" t="s">
        <v>150</v>
      </c>
      <c r="Q52" s="42" t="s">
        <v>151</v>
      </c>
      <c r="R52" s="42" t="s">
        <v>140</v>
      </c>
      <c r="S52" s="42">
        <v>1</v>
      </c>
      <c r="T52" s="42">
        <v>1</v>
      </c>
      <c r="U52" s="43" t="s">
        <v>2431</v>
      </c>
      <c r="V52" s="42" t="s">
        <v>240</v>
      </c>
      <c r="W52" s="43" t="s">
        <v>1948</v>
      </c>
      <c r="X52" s="43" t="s">
        <v>1949</v>
      </c>
      <c r="Y52" s="42" t="s">
        <v>41</v>
      </c>
      <c r="Z52" s="42" t="s">
        <v>41</v>
      </c>
      <c r="AA52" s="43" t="s">
        <v>1869</v>
      </c>
      <c r="AB52" s="44">
        <v>1.2972972972972974</v>
      </c>
      <c r="AC52" s="42">
        <v>2026</v>
      </c>
      <c r="AD52" s="45">
        <v>360</v>
      </c>
      <c r="AE52" s="45">
        <v>371</v>
      </c>
      <c r="AF52" s="45">
        <v>338</v>
      </c>
      <c r="AG52" s="45">
        <v>323</v>
      </c>
      <c r="AH52" s="45">
        <v>324</v>
      </c>
      <c r="AI52" s="45">
        <f t="shared" si="3"/>
        <v>343.2</v>
      </c>
      <c r="AJ52" s="45">
        <f t="shared" si="4"/>
        <v>21.556901447100415</v>
      </c>
      <c r="AK52" s="46">
        <f t="shared" si="5"/>
        <v>5</v>
      </c>
      <c r="AL52" s="42" t="s">
        <v>341</v>
      </c>
      <c r="AM52" s="42"/>
      <c r="AN52" s="42">
        <v>347</v>
      </c>
      <c r="AO52" s="42">
        <v>340</v>
      </c>
      <c r="AP52" s="42">
        <v>330</v>
      </c>
      <c r="AQ52" s="42">
        <v>343</v>
      </c>
      <c r="AR52" s="42"/>
      <c r="AS52" s="42"/>
      <c r="AT52" s="42">
        <v>393</v>
      </c>
      <c r="AU52" s="42"/>
      <c r="AV52" s="42">
        <v>400</v>
      </c>
      <c r="AW52" s="43" t="s">
        <v>1970</v>
      </c>
      <c r="AX52" s="42">
        <v>330</v>
      </c>
      <c r="AY52" s="42">
        <v>396.5</v>
      </c>
      <c r="AZ52" s="45"/>
      <c r="BA52" s="45"/>
      <c r="BB52" s="45"/>
      <c r="BC52" s="45"/>
      <c r="BD52" s="42" t="s">
        <v>157</v>
      </c>
      <c r="BE52" s="42" t="s">
        <v>468</v>
      </c>
      <c r="BF52" s="42" t="s">
        <v>469</v>
      </c>
      <c r="BG52" s="42" t="s">
        <v>470</v>
      </c>
      <c r="BH52" s="42" t="s">
        <v>161</v>
      </c>
      <c r="BI52" s="42" t="s">
        <v>162</v>
      </c>
      <c r="BJ52" s="42" t="s">
        <v>288</v>
      </c>
      <c r="BK52" s="42" t="s">
        <v>164</v>
      </c>
      <c r="BL52" s="42" t="s">
        <v>258</v>
      </c>
      <c r="BM52" s="43" t="s">
        <v>1865</v>
      </c>
      <c r="BN52" s="42" t="s">
        <v>369</v>
      </c>
      <c r="BO52" s="42" t="s">
        <v>167</v>
      </c>
      <c r="BP52" s="46">
        <v>0</v>
      </c>
      <c r="BQ52" s="46">
        <v>0</v>
      </c>
      <c r="BR52" s="42"/>
      <c r="BS52" s="42" t="s">
        <v>168</v>
      </c>
      <c r="BT52" s="42" t="s">
        <v>169</v>
      </c>
      <c r="BU52" s="42" t="s">
        <v>170</v>
      </c>
      <c r="BV52" s="42"/>
    </row>
    <row r="53" spans="1:74" ht="78" customHeight="1">
      <c r="A53" s="35" t="s">
        <v>564</v>
      </c>
      <c r="B53" s="36" t="s">
        <v>248</v>
      </c>
      <c r="C53" s="36" t="s">
        <v>140</v>
      </c>
      <c r="D53" s="36" t="s">
        <v>565</v>
      </c>
      <c r="E53" s="36" t="s">
        <v>172</v>
      </c>
      <c r="F53" s="15">
        <v>77</v>
      </c>
      <c r="G53" s="15">
        <v>75</v>
      </c>
      <c r="H53" s="15">
        <v>76</v>
      </c>
      <c r="I53" s="36" t="s">
        <v>520</v>
      </c>
      <c r="J53" s="36" t="s">
        <v>566</v>
      </c>
      <c r="K53" s="36" t="s">
        <v>145</v>
      </c>
      <c r="L53" s="36" t="s">
        <v>146</v>
      </c>
      <c r="M53" s="36" t="s">
        <v>147</v>
      </c>
      <c r="N53" s="36" t="s">
        <v>148</v>
      </c>
      <c r="O53" s="36" t="s">
        <v>149</v>
      </c>
      <c r="P53" s="36" t="s">
        <v>150</v>
      </c>
      <c r="Q53" s="36" t="s">
        <v>151</v>
      </c>
      <c r="R53" s="36" t="s">
        <v>140</v>
      </c>
      <c r="S53" s="36">
        <v>1</v>
      </c>
      <c r="T53" s="36">
        <v>1</v>
      </c>
      <c r="U53" s="37" t="s">
        <v>2432</v>
      </c>
      <c r="V53" s="36" t="s">
        <v>152</v>
      </c>
      <c r="W53" s="37" t="s">
        <v>1864</v>
      </c>
      <c r="X53" s="37" t="s">
        <v>1947</v>
      </c>
      <c r="Y53" s="36" t="s">
        <v>41</v>
      </c>
      <c r="Z53" s="36" t="s">
        <v>41</v>
      </c>
      <c r="AA53" s="37" t="s">
        <v>1869</v>
      </c>
      <c r="AB53" s="38">
        <v>1.2</v>
      </c>
      <c r="AC53" s="36">
        <v>2026</v>
      </c>
      <c r="AD53" s="39">
        <v>362</v>
      </c>
      <c r="AE53" s="39">
        <v>362</v>
      </c>
      <c r="AF53" s="39">
        <v>338</v>
      </c>
      <c r="AG53" s="39">
        <v>323</v>
      </c>
      <c r="AH53" s="39">
        <v>324</v>
      </c>
      <c r="AI53" s="39">
        <f t="shared" si="3"/>
        <v>341.8</v>
      </c>
      <c r="AJ53" s="39">
        <f t="shared" si="4"/>
        <v>19.370080020485201</v>
      </c>
      <c r="AK53" s="40">
        <f t="shared" si="5"/>
        <v>5</v>
      </c>
      <c r="AL53" s="36" t="s">
        <v>341</v>
      </c>
      <c r="AM53" s="36"/>
      <c r="AN53" s="36">
        <v>362</v>
      </c>
      <c r="AO53" s="36">
        <v>372</v>
      </c>
      <c r="AP53" s="36">
        <v>361</v>
      </c>
      <c r="AQ53" s="36">
        <v>357</v>
      </c>
      <c r="AR53" s="36">
        <v>394.5</v>
      </c>
      <c r="AS53" s="36"/>
      <c r="AT53" s="36">
        <v>388</v>
      </c>
      <c r="AU53" s="36">
        <v>387.5</v>
      </c>
      <c r="AV53" s="36">
        <v>381</v>
      </c>
      <c r="AW53" s="37" t="s">
        <v>1971</v>
      </c>
      <c r="AX53" s="36">
        <v>357</v>
      </c>
      <c r="AY53" s="36">
        <v>387.75</v>
      </c>
      <c r="AZ53" s="39"/>
      <c r="BA53" s="39"/>
      <c r="BB53" s="39"/>
      <c r="BC53" s="39"/>
      <c r="BD53" s="36" t="s">
        <v>157</v>
      </c>
      <c r="BE53" s="36" t="s">
        <v>567</v>
      </c>
      <c r="BF53" s="36" t="s">
        <v>263</v>
      </c>
      <c r="BG53" s="36" t="s">
        <v>279</v>
      </c>
      <c r="BH53" s="36" t="s">
        <v>161</v>
      </c>
      <c r="BI53" s="36" t="s">
        <v>162</v>
      </c>
      <c r="BJ53" s="36" t="s">
        <v>568</v>
      </c>
      <c r="BK53" s="36" t="s">
        <v>164</v>
      </c>
      <c r="BL53" s="36" t="s">
        <v>258</v>
      </c>
      <c r="BM53" s="37" t="s">
        <v>1865</v>
      </c>
      <c r="BN53" s="36" t="s">
        <v>569</v>
      </c>
      <c r="BO53" s="36" t="s">
        <v>167</v>
      </c>
      <c r="BP53" s="40">
        <v>0</v>
      </c>
      <c r="BQ53" s="40">
        <v>0</v>
      </c>
      <c r="BR53" s="36"/>
      <c r="BS53" s="36" t="s">
        <v>168</v>
      </c>
      <c r="BT53" s="36" t="s">
        <v>169</v>
      </c>
      <c r="BU53" s="36" t="s">
        <v>170</v>
      </c>
      <c r="BV53" s="36"/>
    </row>
    <row r="54" spans="1:74" ht="78" customHeight="1">
      <c r="A54" s="35" t="s">
        <v>570</v>
      </c>
      <c r="B54" s="36" t="s">
        <v>248</v>
      </c>
      <c r="C54" s="36" t="s">
        <v>140</v>
      </c>
      <c r="D54" s="36" t="s">
        <v>209</v>
      </c>
      <c r="E54" s="36" t="s">
        <v>172</v>
      </c>
      <c r="F54" s="15">
        <v>77</v>
      </c>
      <c r="G54" s="15">
        <v>77</v>
      </c>
      <c r="H54" s="15">
        <v>77</v>
      </c>
      <c r="I54" s="36" t="s">
        <v>520</v>
      </c>
      <c r="J54" s="36" t="s">
        <v>571</v>
      </c>
      <c r="K54" s="36" t="s">
        <v>145</v>
      </c>
      <c r="L54" s="36" t="s">
        <v>146</v>
      </c>
      <c r="M54" s="36" t="s">
        <v>147</v>
      </c>
      <c r="N54" s="36" t="s">
        <v>148</v>
      </c>
      <c r="O54" s="36" t="s">
        <v>149</v>
      </c>
      <c r="P54" s="36" t="s">
        <v>150</v>
      </c>
      <c r="Q54" s="36" t="s">
        <v>151</v>
      </c>
      <c r="R54" s="36" t="s">
        <v>248</v>
      </c>
      <c r="S54" s="36">
        <v>0</v>
      </c>
      <c r="T54" s="36">
        <v>0</v>
      </c>
      <c r="U54" s="37" t="s">
        <v>2433</v>
      </c>
      <c r="V54" s="36" t="s">
        <v>168</v>
      </c>
      <c r="W54" s="37" t="s">
        <v>1881</v>
      </c>
      <c r="X54" s="37" t="s">
        <v>1927</v>
      </c>
      <c r="Y54" s="36" t="s">
        <v>41</v>
      </c>
      <c r="Z54" s="36" t="s">
        <v>41</v>
      </c>
      <c r="AA54" s="37" t="s">
        <v>1869</v>
      </c>
      <c r="AB54" s="38">
        <v>1.8</v>
      </c>
      <c r="AC54" s="36">
        <v>2026</v>
      </c>
      <c r="AD54" s="39"/>
      <c r="AE54" s="39"/>
      <c r="AF54" s="39"/>
      <c r="AG54" s="39">
        <v>323</v>
      </c>
      <c r="AH54" s="39">
        <v>324</v>
      </c>
      <c r="AI54" s="39">
        <f t="shared" si="3"/>
        <v>323.5</v>
      </c>
      <c r="AJ54" s="39">
        <f t="shared" si="4"/>
        <v>0.70710678118654757</v>
      </c>
      <c r="AK54" s="40">
        <f t="shared" si="5"/>
        <v>2</v>
      </c>
      <c r="AL54" s="36" t="s">
        <v>445</v>
      </c>
      <c r="AM54" s="36"/>
      <c r="AN54" s="36"/>
      <c r="AO54" s="36"/>
      <c r="AP54" s="36">
        <v>331</v>
      </c>
      <c r="AQ54" s="36">
        <v>360</v>
      </c>
      <c r="AR54" s="36"/>
      <c r="AS54" s="36"/>
      <c r="AT54" s="36"/>
      <c r="AU54" s="36">
        <v>374.5</v>
      </c>
      <c r="AV54" s="36">
        <v>387</v>
      </c>
      <c r="AW54" s="37" t="s">
        <v>1975</v>
      </c>
      <c r="AX54" s="36">
        <v>331</v>
      </c>
      <c r="AY54" s="36">
        <v>380.75</v>
      </c>
      <c r="AZ54" s="39"/>
      <c r="BA54" s="39"/>
      <c r="BB54" s="39"/>
      <c r="BC54" s="39"/>
      <c r="BD54" s="36" t="s">
        <v>157</v>
      </c>
      <c r="BE54" s="36" t="s">
        <v>572</v>
      </c>
      <c r="BF54" s="36" t="s">
        <v>302</v>
      </c>
      <c r="BG54" s="36" t="s">
        <v>573</v>
      </c>
      <c r="BH54" s="36" t="s">
        <v>161</v>
      </c>
      <c r="BI54" s="36" t="s">
        <v>361</v>
      </c>
      <c r="BJ54" s="36" t="s">
        <v>361</v>
      </c>
      <c r="BK54" s="36" t="s">
        <v>362</v>
      </c>
      <c r="BL54" s="36" t="s">
        <v>258</v>
      </c>
      <c r="BM54" s="37" t="s">
        <v>1865</v>
      </c>
      <c r="BN54" s="36" t="s">
        <v>363</v>
      </c>
      <c r="BO54" s="36" t="s">
        <v>167</v>
      </c>
      <c r="BP54" s="40">
        <v>0</v>
      </c>
      <c r="BQ54" s="40">
        <v>0</v>
      </c>
      <c r="BR54" s="36"/>
      <c r="BS54" s="36" t="s">
        <v>168</v>
      </c>
      <c r="BT54" s="36" t="s">
        <v>169</v>
      </c>
      <c r="BU54" s="36" t="s">
        <v>170</v>
      </c>
      <c r="BV54" s="36"/>
    </row>
    <row r="55" spans="1:74" ht="78" customHeight="1">
      <c r="A55" s="53" t="s">
        <v>574</v>
      </c>
      <c r="B55" s="54" t="s">
        <v>248</v>
      </c>
      <c r="C55" s="54" t="s">
        <v>140</v>
      </c>
      <c r="D55" s="54" t="s">
        <v>209</v>
      </c>
      <c r="E55" s="54" t="s">
        <v>172</v>
      </c>
      <c r="F55" s="15">
        <v>77</v>
      </c>
      <c r="G55" s="15">
        <v>77</v>
      </c>
      <c r="H55" s="15">
        <v>77</v>
      </c>
      <c r="I55" s="54" t="s">
        <v>520</v>
      </c>
      <c r="J55" s="54" t="s">
        <v>575</v>
      </c>
      <c r="K55" s="54" t="s">
        <v>145</v>
      </c>
      <c r="L55" s="54" t="s">
        <v>195</v>
      </c>
      <c r="M55" s="54" t="s">
        <v>147</v>
      </c>
      <c r="N55" s="54" t="s">
        <v>148</v>
      </c>
      <c r="O55" s="54" t="s">
        <v>149</v>
      </c>
      <c r="P55" s="54" t="s">
        <v>150</v>
      </c>
      <c r="Q55" s="54" t="s">
        <v>151</v>
      </c>
      <c r="R55" s="54" t="s">
        <v>140</v>
      </c>
      <c r="S55" s="54">
        <v>1</v>
      </c>
      <c r="T55" s="54">
        <v>1</v>
      </c>
      <c r="U55" s="55" t="s">
        <v>2434</v>
      </c>
      <c r="V55" s="54" t="s">
        <v>152</v>
      </c>
      <c r="W55" s="55" t="s">
        <v>1906</v>
      </c>
      <c r="X55" s="55" t="s">
        <v>1941</v>
      </c>
      <c r="Y55" s="54" t="s">
        <v>41</v>
      </c>
      <c r="Z55" s="54" t="s">
        <v>41</v>
      </c>
      <c r="AA55" s="55" t="s">
        <v>1869</v>
      </c>
      <c r="AB55" s="56">
        <v>1.2380952380952379</v>
      </c>
      <c r="AC55" s="54">
        <v>2026</v>
      </c>
      <c r="AD55" s="57">
        <v>380</v>
      </c>
      <c r="AE55" s="57">
        <v>386</v>
      </c>
      <c r="AF55" s="57">
        <v>338</v>
      </c>
      <c r="AG55" s="57">
        <v>323</v>
      </c>
      <c r="AH55" s="57">
        <v>324</v>
      </c>
      <c r="AI55" s="57">
        <f t="shared" si="3"/>
        <v>350.2</v>
      </c>
      <c r="AJ55" s="57">
        <f t="shared" si="4"/>
        <v>30.597385509222839</v>
      </c>
      <c r="AK55" s="58">
        <f t="shared" si="5"/>
        <v>5</v>
      </c>
      <c r="AL55" s="54" t="s">
        <v>341</v>
      </c>
      <c r="AM55" s="54"/>
      <c r="AN55" s="54">
        <v>389</v>
      </c>
      <c r="AO55" s="54">
        <v>344</v>
      </c>
      <c r="AP55" s="54">
        <v>325</v>
      </c>
      <c r="AQ55" s="54">
        <v>341</v>
      </c>
      <c r="AR55" s="54"/>
      <c r="AS55" s="54"/>
      <c r="AT55" s="54">
        <v>377</v>
      </c>
      <c r="AU55" s="54">
        <v>356</v>
      </c>
      <c r="AV55" s="54">
        <v>372.5</v>
      </c>
      <c r="AW55" s="55" t="s">
        <v>1971</v>
      </c>
      <c r="AX55" s="54">
        <v>325</v>
      </c>
      <c r="AY55" s="54">
        <v>372.5</v>
      </c>
      <c r="AZ55" s="57"/>
      <c r="BA55" s="57"/>
      <c r="BB55" s="57"/>
      <c r="BC55" s="57"/>
      <c r="BD55" s="54" t="s">
        <v>157</v>
      </c>
      <c r="BE55" s="54" t="s">
        <v>335</v>
      </c>
      <c r="BF55" s="54" t="s">
        <v>270</v>
      </c>
      <c r="BG55" s="54" t="s">
        <v>336</v>
      </c>
      <c r="BH55" s="54" t="s">
        <v>161</v>
      </c>
      <c r="BI55" s="54" t="s">
        <v>231</v>
      </c>
      <c r="BJ55" s="54" t="s">
        <v>576</v>
      </c>
      <c r="BK55" s="54" t="s">
        <v>164</v>
      </c>
      <c r="BL55" s="54" t="s">
        <v>258</v>
      </c>
      <c r="BM55" s="55" t="s">
        <v>1865</v>
      </c>
      <c r="BN55" s="54" t="s">
        <v>535</v>
      </c>
      <c r="BO55" s="54" t="s">
        <v>167</v>
      </c>
      <c r="BP55" s="58">
        <v>0</v>
      </c>
      <c r="BQ55" s="58">
        <v>0</v>
      </c>
      <c r="BR55" s="54"/>
      <c r="BS55" s="54" t="s">
        <v>168</v>
      </c>
      <c r="BT55" s="54" t="s">
        <v>169</v>
      </c>
      <c r="BU55" s="54" t="s">
        <v>170</v>
      </c>
      <c r="BV55" s="54"/>
    </row>
    <row r="56" spans="1:74" ht="78" customHeight="1">
      <c r="A56" s="41" t="s">
        <v>577</v>
      </c>
      <c r="B56" s="42" t="s">
        <v>248</v>
      </c>
      <c r="C56" s="42" t="s">
        <v>140</v>
      </c>
      <c r="D56" s="42" t="s">
        <v>578</v>
      </c>
      <c r="E56" s="42" t="s">
        <v>172</v>
      </c>
      <c r="F56" s="15">
        <v>77</v>
      </c>
      <c r="G56" s="15">
        <v>78</v>
      </c>
      <c r="H56" s="15">
        <v>78</v>
      </c>
      <c r="I56" s="42" t="s">
        <v>520</v>
      </c>
      <c r="J56" s="42" t="s">
        <v>579</v>
      </c>
      <c r="K56" s="42" t="s">
        <v>145</v>
      </c>
      <c r="L56" s="42" t="s">
        <v>146</v>
      </c>
      <c r="M56" s="42" t="s">
        <v>147</v>
      </c>
      <c r="N56" s="42" t="s">
        <v>148</v>
      </c>
      <c r="O56" s="42" t="s">
        <v>149</v>
      </c>
      <c r="P56" s="42" t="s">
        <v>150</v>
      </c>
      <c r="Q56" s="42" t="s">
        <v>151</v>
      </c>
      <c r="R56" s="42" t="s">
        <v>248</v>
      </c>
      <c r="S56" s="42">
        <v>0</v>
      </c>
      <c r="T56" s="42">
        <v>0</v>
      </c>
      <c r="U56" s="43" t="s">
        <v>2435</v>
      </c>
      <c r="V56" s="42" t="s">
        <v>168</v>
      </c>
      <c r="W56" s="43" t="s">
        <v>1944</v>
      </c>
      <c r="X56" s="43" t="s">
        <v>1945</v>
      </c>
      <c r="Y56" s="42" t="s">
        <v>41</v>
      </c>
      <c r="Z56" s="42" t="s">
        <v>41</v>
      </c>
      <c r="AA56" s="43" t="s">
        <v>1869</v>
      </c>
      <c r="AB56" s="44">
        <v>1.1818181818181821</v>
      </c>
      <c r="AC56" s="42">
        <v>2026</v>
      </c>
      <c r="AD56" s="45">
        <v>360</v>
      </c>
      <c r="AE56" s="45">
        <v>377</v>
      </c>
      <c r="AF56" s="45">
        <v>338</v>
      </c>
      <c r="AG56" s="45">
        <v>323</v>
      </c>
      <c r="AH56" s="45">
        <v>324</v>
      </c>
      <c r="AI56" s="45">
        <f t="shared" si="3"/>
        <v>344.4</v>
      </c>
      <c r="AJ56" s="45">
        <f t="shared" si="4"/>
        <v>23.564804263986577</v>
      </c>
      <c r="AK56" s="46">
        <f t="shared" si="5"/>
        <v>5</v>
      </c>
      <c r="AL56" s="42" t="s">
        <v>341</v>
      </c>
      <c r="AM56" s="42"/>
      <c r="AN56" s="42">
        <v>385</v>
      </c>
      <c r="AO56" s="42">
        <v>354</v>
      </c>
      <c r="AP56" s="42">
        <v>342</v>
      </c>
      <c r="AQ56" s="42">
        <v>370</v>
      </c>
      <c r="AR56" s="42"/>
      <c r="AS56" s="42"/>
      <c r="AT56" s="42">
        <v>365</v>
      </c>
      <c r="AU56" s="42">
        <v>355.5</v>
      </c>
      <c r="AV56" s="42">
        <v>386</v>
      </c>
      <c r="AW56" s="43" t="s">
        <v>1971</v>
      </c>
      <c r="AX56" s="42">
        <v>342</v>
      </c>
      <c r="AY56" s="42">
        <v>365</v>
      </c>
      <c r="AZ56" s="45"/>
      <c r="BA56" s="45"/>
      <c r="BB56" s="45"/>
      <c r="BC56" s="45"/>
      <c r="BD56" s="42" t="s">
        <v>157</v>
      </c>
      <c r="BE56" s="42" t="s">
        <v>580</v>
      </c>
      <c r="BF56" s="42" t="s">
        <v>581</v>
      </c>
      <c r="BG56" s="42" t="s">
        <v>582</v>
      </c>
      <c r="BH56" s="42" t="s">
        <v>161</v>
      </c>
      <c r="BI56" s="42" t="s">
        <v>231</v>
      </c>
      <c r="BJ56" s="42" t="s">
        <v>219</v>
      </c>
      <c r="BK56" s="42" t="s">
        <v>164</v>
      </c>
      <c r="BL56" s="42" t="s">
        <v>258</v>
      </c>
      <c r="BM56" s="43" t="s">
        <v>1865</v>
      </c>
      <c r="BN56" s="42" t="s">
        <v>583</v>
      </c>
      <c r="BO56" s="42" t="s">
        <v>167</v>
      </c>
      <c r="BP56" s="46">
        <v>0</v>
      </c>
      <c r="BQ56" s="46">
        <v>0</v>
      </c>
      <c r="BR56" s="42"/>
      <c r="BS56" s="42" t="s">
        <v>168</v>
      </c>
      <c r="BT56" s="42" t="s">
        <v>169</v>
      </c>
      <c r="BU56" s="42" t="s">
        <v>170</v>
      </c>
      <c r="BV56" s="42"/>
    </row>
    <row r="57" spans="1:74" ht="78" customHeight="1">
      <c r="A57" s="47" t="s">
        <v>584</v>
      </c>
      <c r="B57" s="48" t="s">
        <v>248</v>
      </c>
      <c r="C57" s="48" t="s">
        <v>140</v>
      </c>
      <c r="D57" s="48" t="s">
        <v>585</v>
      </c>
      <c r="E57" s="48" t="s">
        <v>142</v>
      </c>
      <c r="F57" s="15">
        <v>76</v>
      </c>
      <c r="G57" s="15">
        <v>77</v>
      </c>
      <c r="H57" s="15">
        <v>77</v>
      </c>
      <c r="I57" s="48" t="s">
        <v>520</v>
      </c>
      <c r="J57" s="48" t="s">
        <v>586</v>
      </c>
      <c r="K57" s="48" t="s">
        <v>145</v>
      </c>
      <c r="L57" s="48" t="s">
        <v>146</v>
      </c>
      <c r="M57" s="48" t="s">
        <v>147</v>
      </c>
      <c r="N57" s="48" t="s">
        <v>148</v>
      </c>
      <c r="O57" s="48" t="s">
        <v>587</v>
      </c>
      <c r="P57" s="48" t="s">
        <v>150</v>
      </c>
      <c r="Q57" s="48" t="s">
        <v>151</v>
      </c>
      <c r="R57" s="48" t="s">
        <v>140</v>
      </c>
      <c r="S57" s="48">
        <v>2</v>
      </c>
      <c r="T57" s="48">
        <v>2</v>
      </c>
      <c r="U57" s="49" t="s">
        <v>2436</v>
      </c>
      <c r="V57" s="48" t="s">
        <v>240</v>
      </c>
      <c r="W57" s="49" t="s">
        <v>1910</v>
      </c>
      <c r="X57" s="49" t="s">
        <v>1911</v>
      </c>
      <c r="Y57" s="48" t="s">
        <v>41</v>
      </c>
      <c r="Z57" s="48" t="s">
        <v>41</v>
      </c>
      <c r="AA57" s="49" t="s">
        <v>1869</v>
      </c>
      <c r="AB57" s="50">
        <v>1.3518518518518521</v>
      </c>
      <c r="AC57" s="48">
        <v>2026</v>
      </c>
      <c r="AD57" s="51">
        <v>360</v>
      </c>
      <c r="AE57" s="51">
        <v>349</v>
      </c>
      <c r="AF57" s="51">
        <v>338</v>
      </c>
      <c r="AG57" s="51">
        <v>323</v>
      </c>
      <c r="AH57" s="51">
        <v>324</v>
      </c>
      <c r="AI57" s="51">
        <f t="shared" si="3"/>
        <v>338.8</v>
      </c>
      <c r="AJ57" s="51">
        <f t="shared" si="4"/>
        <v>15.990622251807464</v>
      </c>
      <c r="AK57" s="52">
        <f t="shared" si="5"/>
        <v>5</v>
      </c>
      <c r="AL57" s="48" t="s">
        <v>341</v>
      </c>
      <c r="AM57" s="48">
        <v>360</v>
      </c>
      <c r="AN57" s="48">
        <v>346</v>
      </c>
      <c r="AO57" s="48">
        <v>338</v>
      </c>
      <c r="AP57" s="48">
        <v>326</v>
      </c>
      <c r="AQ57" s="48">
        <v>372</v>
      </c>
      <c r="AR57" s="48"/>
      <c r="AS57" s="48">
        <v>381</v>
      </c>
      <c r="AT57" s="48">
        <v>376</v>
      </c>
      <c r="AU57" s="48"/>
      <c r="AV57" s="48">
        <v>394.5</v>
      </c>
      <c r="AW57" s="49" t="s">
        <v>1973</v>
      </c>
      <c r="AX57" s="48">
        <v>326</v>
      </c>
      <c r="AY57" s="48">
        <v>381</v>
      </c>
      <c r="AZ57" s="51"/>
      <c r="BA57" s="51"/>
      <c r="BB57" s="51"/>
      <c r="BC57" s="51"/>
      <c r="BD57" s="48" t="s">
        <v>157</v>
      </c>
      <c r="BE57" s="48" t="s">
        <v>588</v>
      </c>
      <c r="BF57" s="48" t="s">
        <v>589</v>
      </c>
      <c r="BG57" s="48" t="s">
        <v>590</v>
      </c>
      <c r="BH57" s="48" t="s">
        <v>161</v>
      </c>
      <c r="BI57" s="48" t="s">
        <v>231</v>
      </c>
      <c r="BJ57" s="48" t="s">
        <v>296</v>
      </c>
      <c r="BK57" s="48" t="s">
        <v>164</v>
      </c>
      <c r="BL57" s="48" t="s">
        <v>258</v>
      </c>
      <c r="BM57" s="49" t="s">
        <v>1865</v>
      </c>
      <c r="BN57" s="48" t="s">
        <v>591</v>
      </c>
      <c r="BO57" s="48" t="s">
        <v>167</v>
      </c>
      <c r="BP57" s="52">
        <v>0</v>
      </c>
      <c r="BQ57" s="52">
        <v>0</v>
      </c>
      <c r="BR57" s="48"/>
      <c r="BS57" s="48" t="s">
        <v>168</v>
      </c>
      <c r="BT57" s="48" t="s">
        <v>169</v>
      </c>
      <c r="BU57" s="48" t="s">
        <v>170</v>
      </c>
      <c r="BV57" s="48"/>
    </row>
    <row r="58" spans="1:74" ht="78" customHeight="1">
      <c r="A58" s="41" t="s">
        <v>592</v>
      </c>
      <c r="B58" s="42" t="s">
        <v>248</v>
      </c>
      <c r="C58" s="42" t="s">
        <v>140</v>
      </c>
      <c r="D58" s="42" t="s">
        <v>193</v>
      </c>
      <c r="E58" s="42" t="s">
        <v>172</v>
      </c>
      <c r="F58" s="15">
        <v>76</v>
      </c>
      <c r="G58" s="15">
        <v>74</v>
      </c>
      <c r="H58" s="15">
        <v>75</v>
      </c>
      <c r="I58" s="42" t="s">
        <v>520</v>
      </c>
      <c r="J58" s="42" t="s">
        <v>593</v>
      </c>
      <c r="K58" s="42" t="s">
        <v>145</v>
      </c>
      <c r="L58" s="42" t="s">
        <v>146</v>
      </c>
      <c r="M58" s="42" t="s">
        <v>147</v>
      </c>
      <c r="N58" s="42" t="s">
        <v>148</v>
      </c>
      <c r="O58" s="42" t="s">
        <v>149</v>
      </c>
      <c r="P58" s="42" t="s">
        <v>150</v>
      </c>
      <c r="Q58" s="42" t="s">
        <v>151</v>
      </c>
      <c r="R58" s="42" t="s">
        <v>248</v>
      </c>
      <c r="S58" s="42">
        <v>0</v>
      </c>
      <c r="T58" s="42">
        <v>0</v>
      </c>
      <c r="U58" s="43" t="s">
        <v>2437</v>
      </c>
      <c r="V58" s="42" t="s">
        <v>168</v>
      </c>
      <c r="W58" s="43" t="s">
        <v>1881</v>
      </c>
      <c r="X58" s="43" t="s">
        <v>1913</v>
      </c>
      <c r="Y58" s="42" t="s">
        <v>41</v>
      </c>
      <c r="Z58" s="42" t="s">
        <v>41</v>
      </c>
      <c r="AA58" s="43" t="s">
        <v>1869</v>
      </c>
      <c r="AB58" s="44">
        <v>1.5714285714285714</v>
      </c>
      <c r="AC58" s="42">
        <v>2026</v>
      </c>
      <c r="AD58" s="45">
        <v>360</v>
      </c>
      <c r="AE58" s="45">
        <v>367</v>
      </c>
      <c r="AF58" s="45">
        <v>338</v>
      </c>
      <c r="AG58" s="45">
        <v>323</v>
      </c>
      <c r="AH58" s="45">
        <v>324</v>
      </c>
      <c r="AI58" s="45">
        <f t="shared" si="3"/>
        <v>342.4</v>
      </c>
      <c r="AJ58" s="45">
        <f t="shared" si="4"/>
        <v>20.305171754998774</v>
      </c>
      <c r="AK58" s="46">
        <f t="shared" si="5"/>
        <v>5</v>
      </c>
      <c r="AL58" s="42" t="s">
        <v>341</v>
      </c>
      <c r="AM58" s="42"/>
      <c r="AN58" s="42">
        <v>372</v>
      </c>
      <c r="AO58" s="42">
        <v>381</v>
      </c>
      <c r="AP58" s="42">
        <v>364</v>
      </c>
      <c r="AQ58" s="42">
        <v>355</v>
      </c>
      <c r="AR58" s="42">
        <v>406</v>
      </c>
      <c r="AS58" s="42"/>
      <c r="AT58" s="42">
        <v>398</v>
      </c>
      <c r="AU58" s="42">
        <v>391</v>
      </c>
      <c r="AV58" s="42">
        <v>407</v>
      </c>
      <c r="AW58" s="43" t="s">
        <v>1971</v>
      </c>
      <c r="AX58" s="42">
        <v>355</v>
      </c>
      <c r="AY58" s="42">
        <v>402</v>
      </c>
      <c r="AZ58" s="45"/>
      <c r="BA58" s="45"/>
      <c r="BB58" s="45"/>
      <c r="BC58" s="45"/>
      <c r="BD58" s="42" t="s">
        <v>157</v>
      </c>
      <c r="BE58" s="42" t="s">
        <v>216</v>
      </c>
      <c r="BF58" s="42" t="s">
        <v>217</v>
      </c>
      <c r="BG58" s="42" t="s">
        <v>218</v>
      </c>
      <c r="BH58" s="42" t="s">
        <v>161</v>
      </c>
      <c r="BI58" s="42" t="s">
        <v>162</v>
      </c>
      <c r="BJ58" s="42" t="s">
        <v>219</v>
      </c>
      <c r="BK58" s="42" t="s">
        <v>164</v>
      </c>
      <c r="BL58" s="42" t="s">
        <v>258</v>
      </c>
      <c r="BM58" s="43" t="s">
        <v>1865</v>
      </c>
      <c r="BN58" s="42" t="s">
        <v>594</v>
      </c>
      <c r="BO58" s="42" t="s">
        <v>167</v>
      </c>
      <c r="BP58" s="46">
        <v>0</v>
      </c>
      <c r="BQ58" s="46">
        <v>0</v>
      </c>
      <c r="BR58" s="42"/>
      <c r="BS58" s="42" t="s">
        <v>168</v>
      </c>
      <c r="BT58" s="42" t="s">
        <v>169</v>
      </c>
      <c r="BU58" s="42" t="s">
        <v>170</v>
      </c>
      <c r="BV58" s="42"/>
    </row>
    <row r="59" spans="1:74" ht="78" customHeight="1">
      <c r="A59" s="41" t="s">
        <v>595</v>
      </c>
      <c r="B59" s="42" t="s">
        <v>248</v>
      </c>
      <c r="C59" s="42" t="s">
        <v>140</v>
      </c>
      <c r="D59" s="42" t="s">
        <v>355</v>
      </c>
      <c r="E59" s="42" t="s">
        <v>172</v>
      </c>
      <c r="F59" s="15">
        <v>76</v>
      </c>
      <c r="G59" s="15">
        <v>76</v>
      </c>
      <c r="H59" s="15">
        <v>76</v>
      </c>
      <c r="I59" s="42" t="s">
        <v>520</v>
      </c>
      <c r="J59" s="42" t="s">
        <v>596</v>
      </c>
      <c r="K59" s="42" t="s">
        <v>145</v>
      </c>
      <c r="L59" s="42" t="s">
        <v>146</v>
      </c>
      <c r="M59" s="42" t="s">
        <v>147</v>
      </c>
      <c r="N59" s="42" t="s">
        <v>148</v>
      </c>
      <c r="O59" s="42" t="s">
        <v>149</v>
      </c>
      <c r="P59" s="42" t="s">
        <v>150</v>
      </c>
      <c r="Q59" s="42" t="s">
        <v>151</v>
      </c>
      <c r="R59" s="42" t="s">
        <v>248</v>
      </c>
      <c r="S59" s="42">
        <v>0</v>
      </c>
      <c r="T59" s="42">
        <v>0</v>
      </c>
      <c r="U59" s="43" t="s">
        <v>2438</v>
      </c>
      <c r="V59" s="42" t="s">
        <v>168</v>
      </c>
      <c r="W59" s="43" t="s">
        <v>1881</v>
      </c>
      <c r="X59" s="43" t="s">
        <v>1937</v>
      </c>
      <c r="Y59" s="42" t="s">
        <v>41</v>
      </c>
      <c r="Z59" s="42" t="s">
        <v>41</v>
      </c>
      <c r="AA59" s="43" t="s">
        <v>1869</v>
      </c>
      <c r="AB59" s="44">
        <v>1.3809523809523809</v>
      </c>
      <c r="AC59" s="42">
        <v>2026</v>
      </c>
      <c r="AD59" s="45">
        <v>395</v>
      </c>
      <c r="AE59" s="45">
        <v>367</v>
      </c>
      <c r="AF59" s="45">
        <v>338</v>
      </c>
      <c r="AG59" s="45">
        <v>323</v>
      </c>
      <c r="AH59" s="45">
        <v>324</v>
      </c>
      <c r="AI59" s="45">
        <f t="shared" si="3"/>
        <v>349.4</v>
      </c>
      <c r="AJ59" s="45">
        <f t="shared" si="4"/>
        <v>31.069277429641005</v>
      </c>
      <c r="AK59" s="46">
        <f t="shared" si="5"/>
        <v>5</v>
      </c>
      <c r="AL59" s="42" t="s">
        <v>341</v>
      </c>
      <c r="AM59" s="42"/>
      <c r="AN59" s="42">
        <v>369</v>
      </c>
      <c r="AO59" s="42">
        <v>349</v>
      </c>
      <c r="AP59" s="42">
        <v>359</v>
      </c>
      <c r="AQ59" s="42">
        <v>367</v>
      </c>
      <c r="AR59" s="42"/>
      <c r="AS59" s="42"/>
      <c r="AT59" s="42">
        <v>373</v>
      </c>
      <c r="AU59" s="42"/>
      <c r="AV59" s="42">
        <v>386</v>
      </c>
      <c r="AW59" s="43" t="s">
        <v>1970</v>
      </c>
      <c r="AX59" s="42">
        <v>349</v>
      </c>
      <c r="AY59" s="42">
        <v>379.5</v>
      </c>
      <c r="AZ59" s="45"/>
      <c r="BA59" s="45"/>
      <c r="BB59" s="45"/>
      <c r="BC59" s="45"/>
      <c r="BD59" s="42" t="s">
        <v>157</v>
      </c>
      <c r="BE59" s="42" t="s">
        <v>597</v>
      </c>
      <c r="BF59" s="42" t="s">
        <v>453</v>
      </c>
      <c r="BG59" s="42" t="s">
        <v>598</v>
      </c>
      <c r="BH59" s="42" t="s">
        <v>161</v>
      </c>
      <c r="BI59" s="42" t="s">
        <v>231</v>
      </c>
      <c r="BJ59" s="42" t="s">
        <v>219</v>
      </c>
      <c r="BK59" s="42" t="s">
        <v>164</v>
      </c>
      <c r="BL59" s="42" t="s">
        <v>258</v>
      </c>
      <c r="BM59" s="43" t="s">
        <v>1865</v>
      </c>
      <c r="BN59" s="42" t="s">
        <v>599</v>
      </c>
      <c r="BO59" s="42" t="s">
        <v>167</v>
      </c>
      <c r="BP59" s="46">
        <v>0</v>
      </c>
      <c r="BQ59" s="46">
        <v>0</v>
      </c>
      <c r="BR59" s="42"/>
      <c r="BS59" s="42" t="s">
        <v>168</v>
      </c>
      <c r="BT59" s="42" t="s">
        <v>169</v>
      </c>
      <c r="BU59" s="42" t="s">
        <v>170</v>
      </c>
      <c r="BV59" s="42"/>
    </row>
    <row r="60" spans="1:74" ht="78" customHeight="1">
      <c r="A60" s="41" t="s">
        <v>600</v>
      </c>
      <c r="B60" s="42" t="s">
        <v>248</v>
      </c>
      <c r="C60" s="42" t="s">
        <v>140</v>
      </c>
      <c r="D60" s="42" t="s">
        <v>601</v>
      </c>
      <c r="E60" s="42" t="s">
        <v>172</v>
      </c>
      <c r="F60" s="15">
        <v>76</v>
      </c>
      <c r="G60" s="15">
        <v>76</v>
      </c>
      <c r="H60" s="15">
        <v>76</v>
      </c>
      <c r="I60" s="42" t="s">
        <v>520</v>
      </c>
      <c r="J60" s="42" t="s">
        <v>602</v>
      </c>
      <c r="K60" s="42" t="s">
        <v>145</v>
      </c>
      <c r="L60" s="42" t="s">
        <v>146</v>
      </c>
      <c r="M60" s="42" t="s">
        <v>147</v>
      </c>
      <c r="N60" s="42" t="s">
        <v>148</v>
      </c>
      <c r="O60" s="42" t="s">
        <v>149</v>
      </c>
      <c r="P60" s="42" t="s">
        <v>150</v>
      </c>
      <c r="Q60" s="42" t="s">
        <v>151</v>
      </c>
      <c r="R60" s="42" t="s">
        <v>248</v>
      </c>
      <c r="S60" s="42">
        <v>0</v>
      </c>
      <c r="T60" s="42">
        <v>0</v>
      </c>
      <c r="U60" s="43" t="s">
        <v>2439</v>
      </c>
      <c r="V60" s="42" t="s">
        <v>168</v>
      </c>
      <c r="W60" s="43" t="s">
        <v>1934</v>
      </c>
      <c r="X60" s="43" t="s">
        <v>1935</v>
      </c>
      <c r="Y60" s="42" t="s">
        <v>41</v>
      </c>
      <c r="Z60" s="42" t="s">
        <v>41</v>
      </c>
      <c r="AA60" s="43" t="s">
        <v>1869</v>
      </c>
      <c r="AB60" s="44">
        <v>1.3214285714285714</v>
      </c>
      <c r="AC60" s="42">
        <v>2026</v>
      </c>
      <c r="AD60" s="45">
        <v>371</v>
      </c>
      <c r="AE60" s="45">
        <v>376</v>
      </c>
      <c r="AF60" s="45">
        <v>338</v>
      </c>
      <c r="AG60" s="45">
        <v>323</v>
      </c>
      <c r="AH60" s="45">
        <v>324</v>
      </c>
      <c r="AI60" s="45">
        <f t="shared" si="3"/>
        <v>346.4</v>
      </c>
      <c r="AJ60" s="45">
        <f t="shared" si="4"/>
        <v>25.50098037331114</v>
      </c>
      <c r="AK60" s="46">
        <f t="shared" si="5"/>
        <v>5</v>
      </c>
      <c r="AL60" s="42" t="s">
        <v>341</v>
      </c>
      <c r="AM60" s="42"/>
      <c r="AN60" s="42">
        <v>346</v>
      </c>
      <c r="AO60" s="42">
        <v>358</v>
      </c>
      <c r="AP60" s="42">
        <v>349</v>
      </c>
      <c r="AQ60" s="42">
        <v>326</v>
      </c>
      <c r="AR60" s="42"/>
      <c r="AS60" s="42"/>
      <c r="AT60" s="42">
        <v>393</v>
      </c>
      <c r="AU60" s="42">
        <v>379</v>
      </c>
      <c r="AV60" s="42">
        <v>373.5</v>
      </c>
      <c r="AW60" s="43" t="s">
        <v>1971</v>
      </c>
      <c r="AX60" s="42">
        <v>326</v>
      </c>
      <c r="AY60" s="42">
        <v>379</v>
      </c>
      <c r="AZ60" s="45"/>
      <c r="BA60" s="45"/>
      <c r="BB60" s="45"/>
      <c r="BC60" s="45"/>
      <c r="BD60" s="42" t="s">
        <v>157</v>
      </c>
      <c r="BE60" s="42" t="s">
        <v>603</v>
      </c>
      <c r="BF60" s="42" t="s">
        <v>263</v>
      </c>
      <c r="BG60" s="42" t="s">
        <v>279</v>
      </c>
      <c r="BH60" s="42" t="s">
        <v>161</v>
      </c>
      <c r="BI60" s="42" t="s">
        <v>231</v>
      </c>
      <c r="BJ60" s="42" t="s">
        <v>219</v>
      </c>
      <c r="BK60" s="42" t="s">
        <v>164</v>
      </c>
      <c r="BL60" s="42" t="s">
        <v>258</v>
      </c>
      <c r="BM60" s="43" t="s">
        <v>1865</v>
      </c>
      <c r="BN60" s="42" t="s">
        <v>535</v>
      </c>
      <c r="BO60" s="42" t="s">
        <v>167</v>
      </c>
      <c r="BP60" s="46">
        <v>0</v>
      </c>
      <c r="BQ60" s="46">
        <v>0</v>
      </c>
      <c r="BR60" s="42"/>
      <c r="BS60" s="42" t="s">
        <v>168</v>
      </c>
      <c r="BT60" s="42" t="s">
        <v>169</v>
      </c>
      <c r="BU60" s="42" t="s">
        <v>170</v>
      </c>
      <c r="BV60" s="42"/>
    </row>
    <row r="61" spans="1:74" ht="78" customHeight="1">
      <c r="A61" s="41" t="s">
        <v>604</v>
      </c>
      <c r="B61" s="42" t="s">
        <v>248</v>
      </c>
      <c r="C61" s="42" t="s">
        <v>140</v>
      </c>
      <c r="D61" s="42" t="s">
        <v>605</v>
      </c>
      <c r="E61" s="42" t="s">
        <v>606</v>
      </c>
      <c r="F61" s="15">
        <v>76</v>
      </c>
      <c r="G61" s="15">
        <v>77</v>
      </c>
      <c r="H61" s="15">
        <v>77</v>
      </c>
      <c r="I61" s="42" t="s">
        <v>520</v>
      </c>
      <c r="J61" s="42" t="s">
        <v>602</v>
      </c>
      <c r="K61" s="42" t="s">
        <v>145</v>
      </c>
      <c r="L61" s="42" t="s">
        <v>607</v>
      </c>
      <c r="M61" s="42" t="s">
        <v>608</v>
      </c>
      <c r="N61" s="42" t="s">
        <v>148</v>
      </c>
      <c r="O61" s="42" t="s">
        <v>609</v>
      </c>
      <c r="P61" s="42" t="s">
        <v>150</v>
      </c>
      <c r="Q61" s="42" t="s">
        <v>151</v>
      </c>
      <c r="R61" s="42" t="s">
        <v>140</v>
      </c>
      <c r="S61" s="42">
        <v>1</v>
      </c>
      <c r="T61" s="42">
        <v>1</v>
      </c>
      <c r="U61" s="43" t="s">
        <v>2440</v>
      </c>
      <c r="V61" s="42" t="s">
        <v>240</v>
      </c>
      <c r="W61" s="43" t="s">
        <v>1867</v>
      </c>
      <c r="X61" s="43" t="s">
        <v>1909</v>
      </c>
      <c r="Y61" s="42" t="s">
        <v>41</v>
      </c>
      <c r="Z61" s="42" t="s">
        <v>41</v>
      </c>
      <c r="AA61" s="43" t="s">
        <v>1869</v>
      </c>
      <c r="AB61" s="44">
        <v>3.1666666666666665</v>
      </c>
      <c r="AC61" s="42">
        <v>2026</v>
      </c>
      <c r="AD61" s="45">
        <v>360</v>
      </c>
      <c r="AE61" s="45">
        <v>346</v>
      </c>
      <c r="AF61" s="45">
        <v>338</v>
      </c>
      <c r="AG61" s="45">
        <v>323</v>
      </c>
      <c r="AH61" s="45">
        <v>324</v>
      </c>
      <c r="AI61" s="45">
        <f t="shared" si="3"/>
        <v>338.2</v>
      </c>
      <c r="AJ61" s="45">
        <f t="shared" si="4"/>
        <v>15.56277610196844</v>
      </c>
      <c r="AK61" s="46">
        <f t="shared" si="5"/>
        <v>5</v>
      </c>
      <c r="AL61" s="42" t="s">
        <v>341</v>
      </c>
      <c r="AM61" s="42"/>
      <c r="AN61" s="42">
        <v>346</v>
      </c>
      <c r="AO61" s="42">
        <v>361</v>
      </c>
      <c r="AP61" s="42">
        <v>361</v>
      </c>
      <c r="AQ61" s="42">
        <v>380</v>
      </c>
      <c r="AR61" s="42"/>
      <c r="AS61" s="42"/>
      <c r="AT61" s="42"/>
      <c r="AU61" s="42">
        <v>380</v>
      </c>
      <c r="AV61" s="42">
        <v>400</v>
      </c>
      <c r="AW61" s="43" t="s">
        <v>1975</v>
      </c>
      <c r="AX61" s="42">
        <v>346</v>
      </c>
      <c r="AY61" s="42">
        <v>390</v>
      </c>
      <c r="AZ61" s="45"/>
      <c r="BA61" s="45"/>
      <c r="BB61" s="45"/>
      <c r="BC61" s="45"/>
      <c r="BD61" s="42" t="s">
        <v>157</v>
      </c>
      <c r="BE61" s="42" t="s">
        <v>610</v>
      </c>
      <c r="BF61" s="42" t="s">
        <v>159</v>
      </c>
      <c r="BG61" s="42" t="s">
        <v>160</v>
      </c>
      <c r="BH61" s="42" t="s">
        <v>161</v>
      </c>
      <c r="BI61" s="42" t="s">
        <v>231</v>
      </c>
      <c r="BJ61" s="42" t="s">
        <v>296</v>
      </c>
      <c r="BK61" s="42" t="s">
        <v>164</v>
      </c>
      <c r="BL61" s="42" t="s">
        <v>258</v>
      </c>
      <c r="BM61" s="43" t="s">
        <v>1865</v>
      </c>
      <c r="BN61" s="42" t="s">
        <v>348</v>
      </c>
      <c r="BO61" s="42" t="s">
        <v>167</v>
      </c>
      <c r="BP61" s="46">
        <v>0</v>
      </c>
      <c r="BQ61" s="46">
        <v>0</v>
      </c>
      <c r="BR61" s="42"/>
      <c r="BS61" s="42" t="s">
        <v>168</v>
      </c>
      <c r="BT61" s="42" t="s">
        <v>169</v>
      </c>
      <c r="BU61" s="42" t="s">
        <v>170</v>
      </c>
      <c r="BV61" s="42"/>
    </row>
    <row r="62" spans="1:74" ht="78" customHeight="1">
      <c r="A62" s="59" t="s">
        <v>611</v>
      </c>
      <c r="B62" s="60" t="s">
        <v>248</v>
      </c>
      <c r="C62" s="60" t="s">
        <v>140</v>
      </c>
      <c r="D62" s="60" t="s">
        <v>259</v>
      </c>
      <c r="E62" s="60" t="s">
        <v>172</v>
      </c>
      <c r="F62" s="15">
        <v>75</v>
      </c>
      <c r="G62" s="15">
        <v>75</v>
      </c>
      <c r="H62" s="15">
        <v>75</v>
      </c>
      <c r="I62" s="60" t="s">
        <v>520</v>
      </c>
      <c r="J62" s="60" t="s">
        <v>612</v>
      </c>
      <c r="K62" s="60" t="s">
        <v>145</v>
      </c>
      <c r="L62" s="60" t="s">
        <v>146</v>
      </c>
      <c r="M62" s="60" t="s">
        <v>147</v>
      </c>
      <c r="N62" s="60" t="s">
        <v>148</v>
      </c>
      <c r="O62" s="60" t="s">
        <v>149</v>
      </c>
      <c r="P62" s="60" t="s">
        <v>150</v>
      </c>
      <c r="Q62" s="60" t="s">
        <v>151</v>
      </c>
      <c r="R62" s="60" t="s">
        <v>248</v>
      </c>
      <c r="S62" s="60">
        <v>0</v>
      </c>
      <c r="T62" s="60">
        <v>0</v>
      </c>
      <c r="U62" s="61" t="s">
        <v>2441</v>
      </c>
      <c r="V62" s="60" t="s">
        <v>168</v>
      </c>
      <c r="W62" s="61" t="s">
        <v>1881</v>
      </c>
      <c r="X62" s="61" t="s">
        <v>1954</v>
      </c>
      <c r="Y62" s="60" t="s">
        <v>41</v>
      </c>
      <c r="Z62" s="60" t="s">
        <v>41</v>
      </c>
      <c r="AA62" s="61" t="s">
        <v>1869</v>
      </c>
      <c r="AB62" s="62">
        <v>1.3478260869565215</v>
      </c>
      <c r="AC62" s="60">
        <v>2026</v>
      </c>
      <c r="AD62" s="63">
        <v>360</v>
      </c>
      <c r="AE62" s="63">
        <v>383</v>
      </c>
      <c r="AF62" s="63">
        <v>338</v>
      </c>
      <c r="AG62" s="63">
        <v>323</v>
      </c>
      <c r="AH62" s="63">
        <v>324</v>
      </c>
      <c r="AI62" s="63">
        <f t="shared" si="3"/>
        <v>345.6</v>
      </c>
      <c r="AJ62" s="63">
        <f t="shared" si="4"/>
        <v>25.6963032360688</v>
      </c>
      <c r="AK62" s="64">
        <f t="shared" si="5"/>
        <v>5</v>
      </c>
      <c r="AL62" s="60" t="s">
        <v>341</v>
      </c>
      <c r="AM62" s="60"/>
      <c r="AN62" s="60">
        <v>385</v>
      </c>
      <c r="AO62" s="60">
        <v>390</v>
      </c>
      <c r="AP62" s="60">
        <v>348</v>
      </c>
      <c r="AQ62" s="60">
        <v>390</v>
      </c>
      <c r="AR62" s="60"/>
      <c r="AS62" s="60"/>
      <c r="AT62" s="60">
        <v>404</v>
      </c>
      <c r="AU62" s="60"/>
      <c r="AV62" s="60">
        <v>410</v>
      </c>
      <c r="AW62" s="61" t="s">
        <v>1970</v>
      </c>
      <c r="AX62" s="60">
        <v>348</v>
      </c>
      <c r="AY62" s="60">
        <v>407</v>
      </c>
      <c r="AZ62" s="63"/>
      <c r="BA62" s="63"/>
      <c r="BB62" s="63"/>
      <c r="BC62" s="63"/>
      <c r="BD62" s="60" t="s">
        <v>157</v>
      </c>
      <c r="BE62" s="60" t="s">
        <v>613</v>
      </c>
      <c r="BF62" s="60" t="s">
        <v>614</v>
      </c>
      <c r="BG62" s="60" t="s">
        <v>615</v>
      </c>
      <c r="BH62" s="60" t="s">
        <v>161</v>
      </c>
      <c r="BI62" s="60" t="s">
        <v>231</v>
      </c>
      <c r="BJ62" s="60" t="s">
        <v>296</v>
      </c>
      <c r="BK62" s="60" t="s">
        <v>164</v>
      </c>
      <c r="BL62" s="60" t="s">
        <v>258</v>
      </c>
      <c r="BM62" s="61" t="s">
        <v>1865</v>
      </c>
      <c r="BN62" s="60" t="s">
        <v>166</v>
      </c>
      <c r="BO62" s="60" t="s">
        <v>167</v>
      </c>
      <c r="BP62" s="64">
        <v>0</v>
      </c>
      <c r="BQ62" s="64">
        <v>0</v>
      </c>
      <c r="BR62" s="60"/>
      <c r="BS62" s="60" t="s">
        <v>168</v>
      </c>
      <c r="BT62" s="60" t="s">
        <v>169</v>
      </c>
      <c r="BU62" s="60" t="s">
        <v>170</v>
      </c>
      <c r="BV62" s="60"/>
    </row>
    <row r="63" spans="1:74" ht="78" customHeight="1">
      <c r="A63" s="53" t="s">
        <v>616</v>
      </c>
      <c r="B63" s="54" t="s">
        <v>248</v>
      </c>
      <c r="C63" s="54" t="s">
        <v>140</v>
      </c>
      <c r="D63" s="54" t="s">
        <v>259</v>
      </c>
      <c r="E63" s="54" t="s">
        <v>172</v>
      </c>
      <c r="F63" s="15">
        <v>75</v>
      </c>
      <c r="G63" s="15">
        <v>75</v>
      </c>
      <c r="H63" s="15">
        <v>75</v>
      </c>
      <c r="I63" s="54" t="s">
        <v>520</v>
      </c>
      <c r="J63" s="54" t="s">
        <v>617</v>
      </c>
      <c r="K63" s="54" t="s">
        <v>145</v>
      </c>
      <c r="L63" s="54" t="s">
        <v>146</v>
      </c>
      <c r="M63" s="54" t="s">
        <v>147</v>
      </c>
      <c r="N63" s="54" t="s">
        <v>148</v>
      </c>
      <c r="O63" s="54" t="s">
        <v>149</v>
      </c>
      <c r="P63" s="54" t="s">
        <v>150</v>
      </c>
      <c r="Q63" s="54" t="s">
        <v>151</v>
      </c>
      <c r="R63" s="54" t="s">
        <v>140</v>
      </c>
      <c r="S63" s="54">
        <v>1</v>
      </c>
      <c r="T63" s="54">
        <v>1</v>
      </c>
      <c r="U63" s="55" t="s">
        <v>2442</v>
      </c>
      <c r="V63" s="54" t="s">
        <v>240</v>
      </c>
      <c r="W63" s="55" t="s">
        <v>1867</v>
      </c>
      <c r="X63" s="55" t="s">
        <v>1917</v>
      </c>
      <c r="Y63" s="54" t="s">
        <v>41</v>
      </c>
      <c r="Z63" s="54" t="s">
        <v>41</v>
      </c>
      <c r="AA63" s="55" t="s">
        <v>1869</v>
      </c>
      <c r="AB63" s="56">
        <v>1.2173913043478262</v>
      </c>
      <c r="AC63" s="54">
        <v>2026</v>
      </c>
      <c r="AD63" s="57">
        <v>382</v>
      </c>
      <c r="AE63" s="57">
        <v>370</v>
      </c>
      <c r="AF63" s="57">
        <v>338</v>
      </c>
      <c r="AG63" s="57">
        <v>323</v>
      </c>
      <c r="AH63" s="57">
        <v>324</v>
      </c>
      <c r="AI63" s="57">
        <f t="shared" si="3"/>
        <v>347.4</v>
      </c>
      <c r="AJ63" s="57">
        <f t="shared" si="4"/>
        <v>27.10719461692781</v>
      </c>
      <c r="AK63" s="58">
        <f t="shared" si="5"/>
        <v>5</v>
      </c>
      <c r="AL63" s="54" t="s">
        <v>341</v>
      </c>
      <c r="AM63" s="54"/>
      <c r="AN63" s="54"/>
      <c r="AO63" s="54">
        <v>391</v>
      </c>
      <c r="AP63" s="54">
        <v>351</v>
      </c>
      <c r="AQ63" s="54">
        <v>400</v>
      </c>
      <c r="AR63" s="54"/>
      <c r="AS63" s="54"/>
      <c r="AT63" s="54">
        <v>406</v>
      </c>
      <c r="AU63" s="54"/>
      <c r="AV63" s="54">
        <v>422</v>
      </c>
      <c r="AW63" s="55" t="s">
        <v>1970</v>
      </c>
      <c r="AX63" s="54">
        <v>351</v>
      </c>
      <c r="AY63" s="54">
        <v>414</v>
      </c>
      <c r="AZ63" s="57"/>
      <c r="BA63" s="57"/>
      <c r="BB63" s="57"/>
      <c r="BC63" s="57"/>
      <c r="BD63" s="54" t="s">
        <v>157</v>
      </c>
      <c r="BE63" s="54" t="s">
        <v>618</v>
      </c>
      <c r="BF63" s="54" t="s">
        <v>413</v>
      </c>
      <c r="BG63" s="54" t="s">
        <v>619</v>
      </c>
      <c r="BH63" s="54" t="s">
        <v>161</v>
      </c>
      <c r="BI63" s="54" t="s">
        <v>231</v>
      </c>
      <c r="BJ63" s="54" t="s">
        <v>219</v>
      </c>
      <c r="BK63" s="54" t="s">
        <v>620</v>
      </c>
      <c r="BL63" s="54" t="s">
        <v>258</v>
      </c>
      <c r="BM63" s="55" t="s">
        <v>1865</v>
      </c>
      <c r="BN63" s="54" t="s">
        <v>621</v>
      </c>
      <c r="BO63" s="54" t="s">
        <v>167</v>
      </c>
      <c r="BP63" s="58">
        <v>0</v>
      </c>
      <c r="BQ63" s="58">
        <v>0</v>
      </c>
      <c r="BR63" s="54"/>
      <c r="BS63" s="54" t="s">
        <v>168</v>
      </c>
      <c r="BT63" s="54" t="s">
        <v>169</v>
      </c>
      <c r="BU63" s="54" t="s">
        <v>170</v>
      </c>
      <c r="BV63" s="54"/>
    </row>
    <row r="64" spans="1:74" ht="78" customHeight="1">
      <c r="A64" s="41" t="s">
        <v>628</v>
      </c>
      <c r="B64" s="42" t="s">
        <v>248</v>
      </c>
      <c r="C64" s="42" t="s">
        <v>140</v>
      </c>
      <c r="D64" s="42" t="s">
        <v>259</v>
      </c>
      <c r="E64" s="42" t="s">
        <v>172</v>
      </c>
      <c r="F64" s="15">
        <v>74</v>
      </c>
      <c r="G64" s="15">
        <v>72</v>
      </c>
      <c r="H64" s="15">
        <v>73</v>
      </c>
      <c r="I64" s="42" t="s">
        <v>520</v>
      </c>
      <c r="J64" s="42" t="s">
        <v>629</v>
      </c>
      <c r="K64" s="42" t="s">
        <v>145</v>
      </c>
      <c r="L64" s="42" t="s">
        <v>146</v>
      </c>
      <c r="M64" s="42" t="s">
        <v>147</v>
      </c>
      <c r="N64" s="42" t="s">
        <v>148</v>
      </c>
      <c r="O64" s="42" t="s">
        <v>149</v>
      </c>
      <c r="P64" s="42" t="s">
        <v>150</v>
      </c>
      <c r="Q64" s="42" t="s">
        <v>151</v>
      </c>
      <c r="R64" s="42" t="s">
        <v>140</v>
      </c>
      <c r="S64" s="42">
        <v>1</v>
      </c>
      <c r="T64" s="42">
        <v>1</v>
      </c>
      <c r="U64" s="43" t="s">
        <v>2443</v>
      </c>
      <c r="V64" s="42" t="s">
        <v>152</v>
      </c>
      <c r="W64" s="43" t="s">
        <v>1864</v>
      </c>
      <c r="X64" s="43" t="s">
        <v>1963</v>
      </c>
      <c r="Y64" s="42" t="s">
        <v>41</v>
      </c>
      <c r="Z64" s="42" t="s">
        <v>41</v>
      </c>
      <c r="AA64" s="43" t="s">
        <v>1869</v>
      </c>
      <c r="AB64" s="44">
        <v>1.2666666666666666</v>
      </c>
      <c r="AC64" s="42">
        <v>2026</v>
      </c>
      <c r="AD64" s="45"/>
      <c r="AE64" s="45">
        <v>350</v>
      </c>
      <c r="AF64" s="45">
        <v>338</v>
      </c>
      <c r="AG64" s="45">
        <v>323</v>
      </c>
      <c r="AH64" s="45">
        <v>324</v>
      </c>
      <c r="AI64" s="45">
        <f t="shared" si="3"/>
        <v>333.75</v>
      </c>
      <c r="AJ64" s="45">
        <f t="shared" si="4"/>
        <v>12.816005617976296</v>
      </c>
      <c r="AK64" s="46">
        <f t="shared" si="5"/>
        <v>4</v>
      </c>
      <c r="AL64" s="42" t="s">
        <v>539</v>
      </c>
      <c r="AM64" s="42"/>
      <c r="AN64" s="42">
        <v>350</v>
      </c>
      <c r="AO64" s="42">
        <v>359</v>
      </c>
      <c r="AP64" s="42">
        <v>323</v>
      </c>
      <c r="AQ64" s="42">
        <v>340</v>
      </c>
      <c r="AR64" s="42"/>
      <c r="AS64" s="42">
        <v>388</v>
      </c>
      <c r="AT64" s="42">
        <v>384.5</v>
      </c>
      <c r="AU64" s="42"/>
      <c r="AV64" s="42">
        <v>364.5</v>
      </c>
      <c r="AW64" s="43" t="s">
        <v>1973</v>
      </c>
      <c r="AX64" s="42">
        <v>323</v>
      </c>
      <c r="AY64" s="42">
        <v>384.5</v>
      </c>
      <c r="AZ64" s="45"/>
      <c r="BA64" s="45"/>
      <c r="BB64" s="45"/>
      <c r="BC64" s="45"/>
      <c r="BD64" s="42" t="s">
        <v>157</v>
      </c>
      <c r="BE64" s="42" t="s">
        <v>335</v>
      </c>
      <c r="BF64" s="42" t="s">
        <v>270</v>
      </c>
      <c r="BG64" s="42" t="s">
        <v>336</v>
      </c>
      <c r="BH64" s="42" t="s">
        <v>161</v>
      </c>
      <c r="BI64" s="42" t="s">
        <v>231</v>
      </c>
      <c r="BJ64" s="42" t="s">
        <v>630</v>
      </c>
      <c r="BK64" s="42" t="s">
        <v>164</v>
      </c>
      <c r="BL64" s="42" t="s">
        <v>165</v>
      </c>
      <c r="BM64" s="43" t="s">
        <v>1865</v>
      </c>
      <c r="BN64" s="42" t="s">
        <v>631</v>
      </c>
      <c r="BO64" s="42" t="s">
        <v>167</v>
      </c>
      <c r="BP64" s="46">
        <v>0</v>
      </c>
      <c r="BQ64" s="46">
        <v>0</v>
      </c>
      <c r="BR64" s="42"/>
      <c r="BS64" s="42" t="s">
        <v>168</v>
      </c>
      <c r="BT64" s="42" t="s">
        <v>169</v>
      </c>
      <c r="BU64" s="42" t="s">
        <v>170</v>
      </c>
      <c r="BV64" s="42"/>
    </row>
    <row r="65" spans="1:74" ht="78" customHeight="1">
      <c r="A65" s="47" t="s">
        <v>632</v>
      </c>
      <c r="B65" s="48" t="s">
        <v>140</v>
      </c>
      <c r="C65" s="48" t="s">
        <v>140</v>
      </c>
      <c r="D65" s="48" t="s">
        <v>355</v>
      </c>
      <c r="E65" s="48" t="s">
        <v>172</v>
      </c>
      <c r="F65" s="15">
        <v>73</v>
      </c>
      <c r="G65" s="15">
        <v>74</v>
      </c>
      <c r="H65" s="15">
        <v>74</v>
      </c>
      <c r="I65" s="48" t="s">
        <v>520</v>
      </c>
      <c r="J65" s="48" t="s">
        <v>633</v>
      </c>
      <c r="K65" s="48" t="s">
        <v>145</v>
      </c>
      <c r="L65" s="48" t="s">
        <v>146</v>
      </c>
      <c r="M65" s="48" t="s">
        <v>147</v>
      </c>
      <c r="N65" s="48" t="s">
        <v>148</v>
      </c>
      <c r="O65" s="48" t="s">
        <v>149</v>
      </c>
      <c r="P65" s="48" t="s">
        <v>150</v>
      </c>
      <c r="Q65" s="48" t="s">
        <v>151</v>
      </c>
      <c r="R65" s="48" t="s">
        <v>140</v>
      </c>
      <c r="S65" s="48">
        <v>1</v>
      </c>
      <c r="T65" s="48">
        <v>1</v>
      </c>
      <c r="U65" s="49" t="s">
        <v>2444</v>
      </c>
      <c r="V65" s="48" t="s">
        <v>240</v>
      </c>
      <c r="W65" s="49" t="s">
        <v>1867</v>
      </c>
      <c r="X65" s="49" t="s">
        <v>1873</v>
      </c>
      <c r="Y65" s="48" t="s">
        <v>41</v>
      </c>
      <c r="Z65" s="48" t="s">
        <v>41</v>
      </c>
      <c r="AA65" s="49" t="s">
        <v>1869</v>
      </c>
      <c r="AB65" s="50">
        <v>1.2112676056338028</v>
      </c>
      <c r="AC65" s="48">
        <v>2026</v>
      </c>
      <c r="AD65" s="51">
        <v>368</v>
      </c>
      <c r="AE65" s="51">
        <v>385</v>
      </c>
      <c r="AF65" s="51">
        <v>338</v>
      </c>
      <c r="AG65" s="51">
        <v>323</v>
      </c>
      <c r="AH65" s="51">
        <v>324</v>
      </c>
      <c r="AI65" s="51">
        <f t="shared" si="3"/>
        <v>347.6</v>
      </c>
      <c r="AJ65" s="51">
        <f t="shared" si="4"/>
        <v>27.700180504827038</v>
      </c>
      <c r="AK65" s="52">
        <f t="shared" si="5"/>
        <v>5</v>
      </c>
      <c r="AL65" s="48" t="s">
        <v>341</v>
      </c>
      <c r="AM65" s="48"/>
      <c r="AN65" s="48">
        <v>386</v>
      </c>
      <c r="AO65" s="48">
        <v>372</v>
      </c>
      <c r="AP65" s="48">
        <v>370</v>
      </c>
      <c r="AQ65" s="48">
        <v>382</v>
      </c>
      <c r="AR65" s="48"/>
      <c r="AS65" s="48"/>
      <c r="AT65" s="48">
        <v>392.5</v>
      </c>
      <c r="AU65" s="48"/>
      <c r="AV65" s="48">
        <v>400</v>
      </c>
      <c r="AW65" s="49" t="s">
        <v>1970</v>
      </c>
      <c r="AX65" s="48">
        <v>370</v>
      </c>
      <c r="AY65" s="48">
        <v>396.25</v>
      </c>
      <c r="AZ65" s="51"/>
      <c r="BA65" s="51"/>
      <c r="BB65" s="51"/>
      <c r="BC65" s="51"/>
      <c r="BD65" s="48" t="s">
        <v>157</v>
      </c>
      <c r="BE65" s="48" t="s">
        <v>634</v>
      </c>
      <c r="BF65" s="48" t="s">
        <v>159</v>
      </c>
      <c r="BG65" s="48" t="s">
        <v>160</v>
      </c>
      <c r="BH65" s="48" t="s">
        <v>161</v>
      </c>
      <c r="BI65" s="48" t="s">
        <v>231</v>
      </c>
      <c r="BJ65" s="48" t="s">
        <v>568</v>
      </c>
      <c r="BK65" s="48" t="s">
        <v>635</v>
      </c>
      <c r="BL65" s="48" t="s">
        <v>258</v>
      </c>
      <c r="BM65" s="49" t="s">
        <v>1865</v>
      </c>
      <c r="BN65" s="48" t="s">
        <v>535</v>
      </c>
      <c r="BO65" s="48" t="s">
        <v>167</v>
      </c>
      <c r="BP65" s="52">
        <v>0</v>
      </c>
      <c r="BQ65" s="52">
        <v>0</v>
      </c>
      <c r="BR65" s="48"/>
      <c r="BS65" s="48" t="s">
        <v>168</v>
      </c>
      <c r="BT65" s="48" t="s">
        <v>169</v>
      </c>
      <c r="BU65" s="48" t="s">
        <v>170</v>
      </c>
      <c r="BV65" s="48"/>
    </row>
    <row r="66" spans="1:74" ht="78" customHeight="1">
      <c r="A66" s="47" t="s">
        <v>636</v>
      </c>
      <c r="B66" s="48" t="s">
        <v>248</v>
      </c>
      <c r="C66" s="48" t="s">
        <v>140</v>
      </c>
      <c r="D66" s="48" t="s">
        <v>637</v>
      </c>
      <c r="E66" s="48" t="s">
        <v>172</v>
      </c>
      <c r="F66" s="15">
        <v>73</v>
      </c>
      <c r="G66" s="15">
        <v>73</v>
      </c>
      <c r="H66" s="15">
        <v>73</v>
      </c>
      <c r="I66" s="48" t="s">
        <v>520</v>
      </c>
      <c r="J66" s="48" t="s">
        <v>638</v>
      </c>
      <c r="K66" s="48" t="s">
        <v>145</v>
      </c>
      <c r="L66" s="48" t="s">
        <v>146</v>
      </c>
      <c r="M66" s="48" t="s">
        <v>147</v>
      </c>
      <c r="N66" s="48" t="s">
        <v>148</v>
      </c>
      <c r="O66" s="48" t="s">
        <v>149</v>
      </c>
      <c r="P66" s="48" t="s">
        <v>150</v>
      </c>
      <c r="Q66" s="48" t="s">
        <v>151</v>
      </c>
      <c r="R66" s="48" t="s">
        <v>248</v>
      </c>
      <c r="S66" s="48">
        <v>0</v>
      </c>
      <c r="T66" s="48">
        <v>0</v>
      </c>
      <c r="U66" s="49" t="s">
        <v>2445</v>
      </c>
      <c r="V66" s="48" t="s">
        <v>168</v>
      </c>
      <c r="W66" s="49" t="s">
        <v>1955</v>
      </c>
      <c r="X66" s="49" t="s">
        <v>1956</v>
      </c>
      <c r="Y66" s="48" t="s">
        <v>41</v>
      </c>
      <c r="Z66" s="48" t="s">
        <v>41</v>
      </c>
      <c r="AA66" s="49" t="s">
        <v>1869</v>
      </c>
      <c r="AB66" s="50">
        <v>1.265625</v>
      </c>
      <c r="AC66" s="48">
        <v>2026</v>
      </c>
      <c r="AD66" s="51">
        <v>360</v>
      </c>
      <c r="AE66" s="51">
        <v>360</v>
      </c>
      <c r="AF66" s="51">
        <v>338</v>
      </c>
      <c r="AG66" s="51">
        <v>323</v>
      </c>
      <c r="AH66" s="51">
        <v>324</v>
      </c>
      <c r="AI66" s="51">
        <f t="shared" si="3"/>
        <v>341</v>
      </c>
      <c r="AJ66" s="51">
        <f t="shared" si="4"/>
        <v>18.330302779823359</v>
      </c>
      <c r="AK66" s="52">
        <f t="shared" si="5"/>
        <v>5</v>
      </c>
      <c r="AL66" s="48" t="s">
        <v>341</v>
      </c>
      <c r="AM66" s="48"/>
      <c r="AN66" s="48">
        <v>348</v>
      </c>
      <c r="AO66" s="48">
        <v>343</v>
      </c>
      <c r="AP66" s="48">
        <v>349</v>
      </c>
      <c r="AQ66" s="48">
        <v>340</v>
      </c>
      <c r="AR66" s="48"/>
      <c r="AS66" s="48"/>
      <c r="AT66" s="48">
        <v>369.5</v>
      </c>
      <c r="AU66" s="48"/>
      <c r="AV66" s="48">
        <v>368</v>
      </c>
      <c r="AW66" s="49" t="s">
        <v>1970</v>
      </c>
      <c r="AX66" s="48">
        <v>340</v>
      </c>
      <c r="AY66" s="48">
        <v>368.75</v>
      </c>
      <c r="AZ66" s="51"/>
      <c r="BA66" s="51"/>
      <c r="BB66" s="51"/>
      <c r="BC66" s="51"/>
      <c r="BD66" s="48" t="s">
        <v>157</v>
      </c>
      <c r="BE66" s="48" t="s">
        <v>639</v>
      </c>
      <c r="BF66" s="48" t="s">
        <v>640</v>
      </c>
      <c r="BG66" s="48" t="s">
        <v>641</v>
      </c>
      <c r="BH66" s="48" t="s">
        <v>161</v>
      </c>
      <c r="BI66" s="48" t="s">
        <v>162</v>
      </c>
      <c r="BJ66" s="48" t="s">
        <v>568</v>
      </c>
      <c r="BK66" s="48" t="s">
        <v>164</v>
      </c>
      <c r="BL66" s="48" t="s">
        <v>258</v>
      </c>
      <c r="BM66" s="49" t="s">
        <v>1865</v>
      </c>
      <c r="BN66" s="48" t="s">
        <v>247</v>
      </c>
      <c r="BO66" s="48" t="s">
        <v>167</v>
      </c>
      <c r="BP66" s="52">
        <v>0</v>
      </c>
      <c r="BQ66" s="52">
        <v>0</v>
      </c>
      <c r="BR66" s="48"/>
      <c r="BS66" s="48" t="s">
        <v>168</v>
      </c>
      <c r="BT66" s="48" t="s">
        <v>169</v>
      </c>
      <c r="BU66" s="48" t="s">
        <v>170</v>
      </c>
      <c r="BV66" s="48"/>
    </row>
    <row r="67" spans="1:74" ht="78" customHeight="1">
      <c r="A67" s="47" t="s">
        <v>642</v>
      </c>
      <c r="B67" s="48" t="s">
        <v>248</v>
      </c>
      <c r="C67" s="48" t="s">
        <v>140</v>
      </c>
      <c r="D67" s="48" t="s">
        <v>259</v>
      </c>
      <c r="E67" s="48" t="s">
        <v>142</v>
      </c>
      <c r="F67" s="15">
        <v>73</v>
      </c>
      <c r="G67" s="15">
        <v>71</v>
      </c>
      <c r="H67" s="15">
        <v>72</v>
      </c>
      <c r="I67" s="48" t="s">
        <v>520</v>
      </c>
      <c r="J67" s="48" t="s">
        <v>643</v>
      </c>
      <c r="K67" s="48" t="s">
        <v>145</v>
      </c>
      <c r="L67" s="48" t="s">
        <v>146</v>
      </c>
      <c r="M67" s="48" t="s">
        <v>147</v>
      </c>
      <c r="N67" s="48" t="s">
        <v>148</v>
      </c>
      <c r="O67" s="48" t="s">
        <v>644</v>
      </c>
      <c r="P67" s="48" t="s">
        <v>150</v>
      </c>
      <c r="Q67" s="48" t="s">
        <v>151</v>
      </c>
      <c r="R67" s="48" t="s">
        <v>140</v>
      </c>
      <c r="S67" s="48">
        <v>1</v>
      </c>
      <c r="T67" s="48">
        <v>1</v>
      </c>
      <c r="U67" s="49" t="s">
        <v>2446</v>
      </c>
      <c r="V67" s="48" t="s">
        <v>240</v>
      </c>
      <c r="W67" s="49" t="s">
        <v>1867</v>
      </c>
      <c r="X67" s="48" t="s">
        <v>645</v>
      </c>
      <c r="Y67" s="48" t="s">
        <v>41</v>
      </c>
      <c r="Z67" s="48" t="s">
        <v>41</v>
      </c>
      <c r="AA67" s="48" t="s">
        <v>525</v>
      </c>
      <c r="AB67" s="50">
        <v>1.5925925925925926</v>
      </c>
      <c r="AC67" s="48">
        <v>2026</v>
      </c>
      <c r="AD67" s="51">
        <v>360</v>
      </c>
      <c r="AE67" s="51">
        <v>346</v>
      </c>
      <c r="AF67" s="51">
        <v>338</v>
      </c>
      <c r="AG67" s="51">
        <v>323</v>
      </c>
      <c r="AH67" s="51">
        <v>324</v>
      </c>
      <c r="AI67" s="51">
        <f t="shared" ref="AI67:AI83" si="6">IF(COUNT(AD67:AH67)=0,"",AVERAGE(AD67:AH67))</f>
        <v>338.2</v>
      </c>
      <c r="AJ67" s="51">
        <f t="shared" ref="AJ67:AJ83" si="7">IF(COUNT(AD67:AH67)&lt;2,"",STDEV(AD67:AH67))</f>
        <v>15.56277610196844</v>
      </c>
      <c r="AK67" s="52">
        <f t="shared" ref="AK67:AK83" si="8">COUNT(AD67:AH67)</f>
        <v>5</v>
      </c>
      <c r="AL67" s="48" t="s">
        <v>341</v>
      </c>
      <c r="AM67" s="48"/>
      <c r="AN67" s="48">
        <v>348</v>
      </c>
      <c r="AO67" s="48">
        <v>339</v>
      </c>
      <c r="AP67" s="48">
        <v>332</v>
      </c>
      <c r="AQ67" s="48">
        <v>339</v>
      </c>
      <c r="AR67" s="48"/>
      <c r="AS67" s="48"/>
      <c r="AT67" s="48">
        <v>357</v>
      </c>
      <c r="AU67" s="48">
        <v>355</v>
      </c>
      <c r="AV67" s="48">
        <v>370</v>
      </c>
      <c r="AW67" s="49" t="s">
        <v>1971</v>
      </c>
      <c r="AX67" s="48">
        <v>332</v>
      </c>
      <c r="AY67" s="48">
        <v>357</v>
      </c>
      <c r="AZ67" s="51"/>
      <c r="BA67" s="51"/>
      <c r="BB67" s="51"/>
      <c r="BC67" s="51"/>
      <c r="BD67" s="48" t="s">
        <v>157</v>
      </c>
      <c r="BE67" s="48" t="s">
        <v>646</v>
      </c>
      <c r="BF67" s="48" t="s">
        <v>359</v>
      </c>
      <c r="BG67" s="48" t="s">
        <v>390</v>
      </c>
      <c r="BH67" s="48" t="s">
        <v>161</v>
      </c>
      <c r="BI67" s="48" t="s">
        <v>231</v>
      </c>
      <c r="BJ67" s="48" t="s">
        <v>391</v>
      </c>
      <c r="BK67" s="48" t="s">
        <v>164</v>
      </c>
      <c r="BL67" s="48" t="s">
        <v>258</v>
      </c>
      <c r="BM67" s="49" t="s">
        <v>1865</v>
      </c>
      <c r="BN67" s="48" t="s">
        <v>647</v>
      </c>
      <c r="BO67" s="48" t="s">
        <v>167</v>
      </c>
      <c r="BP67" s="52">
        <v>0</v>
      </c>
      <c r="BQ67" s="52">
        <v>0</v>
      </c>
      <c r="BR67" s="48"/>
      <c r="BS67" s="48" t="s">
        <v>168</v>
      </c>
      <c r="BT67" s="48" t="s">
        <v>169</v>
      </c>
      <c r="BU67" s="48" t="s">
        <v>170</v>
      </c>
      <c r="BV67" s="48"/>
    </row>
    <row r="68" spans="1:74" ht="78" customHeight="1">
      <c r="A68" s="41" t="s">
        <v>648</v>
      </c>
      <c r="B68" s="42" t="s">
        <v>248</v>
      </c>
      <c r="C68" s="42" t="s">
        <v>140</v>
      </c>
      <c r="D68" s="42" t="s">
        <v>649</v>
      </c>
      <c r="E68" s="42" t="s">
        <v>172</v>
      </c>
      <c r="F68" s="15">
        <v>72</v>
      </c>
      <c r="G68" s="15">
        <v>71</v>
      </c>
      <c r="H68" s="15">
        <v>72</v>
      </c>
      <c r="I68" s="42" t="s">
        <v>520</v>
      </c>
      <c r="J68" s="42" t="s">
        <v>650</v>
      </c>
      <c r="K68" s="42" t="s">
        <v>145</v>
      </c>
      <c r="L68" s="42" t="s">
        <v>146</v>
      </c>
      <c r="M68" s="42" t="s">
        <v>147</v>
      </c>
      <c r="N68" s="42" t="s">
        <v>148</v>
      </c>
      <c r="O68" s="42" t="s">
        <v>149</v>
      </c>
      <c r="P68" s="42" t="s">
        <v>150</v>
      </c>
      <c r="Q68" s="42" t="s">
        <v>151</v>
      </c>
      <c r="R68" s="42" t="s">
        <v>248</v>
      </c>
      <c r="S68" s="42">
        <v>0</v>
      </c>
      <c r="T68" s="42">
        <v>0</v>
      </c>
      <c r="U68" s="43" t="s">
        <v>2447</v>
      </c>
      <c r="V68" s="42" t="s">
        <v>168</v>
      </c>
      <c r="W68" s="43" t="s">
        <v>1881</v>
      </c>
      <c r="X68" s="43" t="s">
        <v>1920</v>
      </c>
      <c r="Y68" s="42" t="s">
        <v>41</v>
      </c>
      <c r="Z68" s="42" t="s">
        <v>41</v>
      </c>
      <c r="AA68" s="43" t="s">
        <v>1869</v>
      </c>
      <c r="AB68" s="44">
        <v>1.2424242424242424</v>
      </c>
      <c r="AC68" s="42">
        <v>2026</v>
      </c>
      <c r="AD68" s="45">
        <v>369</v>
      </c>
      <c r="AE68" s="45">
        <v>375</v>
      </c>
      <c r="AF68" s="45">
        <v>338</v>
      </c>
      <c r="AG68" s="45">
        <v>323</v>
      </c>
      <c r="AH68" s="45">
        <v>324</v>
      </c>
      <c r="AI68" s="45">
        <f t="shared" si="6"/>
        <v>345.8</v>
      </c>
      <c r="AJ68" s="45">
        <f t="shared" si="7"/>
        <v>24.732569619835299</v>
      </c>
      <c r="AK68" s="46">
        <f t="shared" si="8"/>
        <v>5</v>
      </c>
      <c r="AL68" s="42" t="s">
        <v>341</v>
      </c>
      <c r="AM68" s="42"/>
      <c r="AN68" s="42">
        <v>375</v>
      </c>
      <c r="AO68" s="42">
        <v>365</v>
      </c>
      <c r="AP68" s="42">
        <v>338</v>
      </c>
      <c r="AQ68" s="42">
        <v>353</v>
      </c>
      <c r="AR68" s="42"/>
      <c r="AS68" s="42"/>
      <c r="AT68" s="42"/>
      <c r="AU68" s="42"/>
      <c r="AV68" s="42">
        <v>374</v>
      </c>
      <c r="AW68" s="43" t="s">
        <v>1972</v>
      </c>
      <c r="AX68" s="42">
        <v>338</v>
      </c>
      <c r="AY68" s="42">
        <v>374</v>
      </c>
      <c r="AZ68" s="45"/>
      <c r="BA68" s="45"/>
      <c r="BB68" s="45"/>
      <c r="BC68" s="45"/>
      <c r="BD68" s="42" t="s">
        <v>157</v>
      </c>
      <c r="BE68" s="42" t="s">
        <v>651</v>
      </c>
      <c r="BF68" s="42" t="s">
        <v>159</v>
      </c>
      <c r="BG68" s="42" t="s">
        <v>160</v>
      </c>
      <c r="BH68" s="42" t="s">
        <v>161</v>
      </c>
      <c r="BI68" s="42" t="s">
        <v>162</v>
      </c>
      <c r="BJ68" s="42" t="s">
        <v>296</v>
      </c>
      <c r="BK68" s="42" t="s">
        <v>164</v>
      </c>
      <c r="BL68" s="42" t="s">
        <v>258</v>
      </c>
      <c r="BM68" s="43" t="s">
        <v>1865</v>
      </c>
      <c r="BN68" s="42" t="s">
        <v>652</v>
      </c>
      <c r="BO68" s="42" t="s">
        <v>167</v>
      </c>
      <c r="BP68" s="46">
        <v>0</v>
      </c>
      <c r="BQ68" s="46">
        <v>0</v>
      </c>
      <c r="BR68" s="42"/>
      <c r="BS68" s="42" t="s">
        <v>168</v>
      </c>
      <c r="BT68" s="42" t="s">
        <v>169</v>
      </c>
      <c r="BU68" s="42" t="s">
        <v>170</v>
      </c>
      <c r="BV68" s="42"/>
    </row>
    <row r="69" spans="1:74" ht="78" customHeight="1">
      <c r="A69" s="35" t="s">
        <v>653</v>
      </c>
      <c r="B69" s="36" t="s">
        <v>248</v>
      </c>
      <c r="C69" s="36" t="s">
        <v>140</v>
      </c>
      <c r="D69" s="36" t="s">
        <v>355</v>
      </c>
      <c r="E69" s="36" t="s">
        <v>142</v>
      </c>
      <c r="F69" s="15">
        <v>72</v>
      </c>
      <c r="G69" s="15">
        <v>72</v>
      </c>
      <c r="H69" s="15">
        <v>72</v>
      </c>
      <c r="I69" s="36" t="s">
        <v>520</v>
      </c>
      <c r="J69" s="36" t="s">
        <v>654</v>
      </c>
      <c r="K69" s="36" t="s">
        <v>145</v>
      </c>
      <c r="L69" s="36" t="s">
        <v>195</v>
      </c>
      <c r="M69" s="36" t="s">
        <v>147</v>
      </c>
      <c r="N69" s="36" t="s">
        <v>148</v>
      </c>
      <c r="O69" s="36" t="s">
        <v>655</v>
      </c>
      <c r="P69" s="36" t="s">
        <v>656</v>
      </c>
      <c r="Q69" s="36" t="s">
        <v>225</v>
      </c>
      <c r="R69" s="36" t="s">
        <v>140</v>
      </c>
      <c r="S69" s="36">
        <v>1</v>
      </c>
      <c r="T69" s="36">
        <v>1</v>
      </c>
      <c r="U69" s="37" t="s">
        <v>2448</v>
      </c>
      <c r="V69" s="36" t="s">
        <v>152</v>
      </c>
      <c r="W69" s="37" t="s">
        <v>1906</v>
      </c>
      <c r="X69" s="37" t="s">
        <v>1953</v>
      </c>
      <c r="Y69" s="36" t="s">
        <v>41</v>
      </c>
      <c r="Z69" s="36" t="s">
        <v>41</v>
      </c>
      <c r="AA69" s="37" t="s">
        <v>1869</v>
      </c>
      <c r="AB69" s="38">
        <v>1.3333333333333333</v>
      </c>
      <c r="AC69" s="36">
        <v>2026</v>
      </c>
      <c r="AD69" s="39">
        <v>360</v>
      </c>
      <c r="AE69" s="39">
        <v>353</v>
      </c>
      <c r="AF69" s="39">
        <v>338</v>
      </c>
      <c r="AG69" s="39">
        <v>323</v>
      </c>
      <c r="AH69" s="39">
        <v>324</v>
      </c>
      <c r="AI69" s="39">
        <f t="shared" si="6"/>
        <v>339.6</v>
      </c>
      <c r="AJ69" s="39">
        <f t="shared" si="7"/>
        <v>16.71227094083865</v>
      </c>
      <c r="AK69" s="40">
        <f t="shared" si="8"/>
        <v>5</v>
      </c>
      <c r="AL69" s="36" t="s">
        <v>341</v>
      </c>
      <c r="AM69" s="36"/>
      <c r="AN69" s="36">
        <v>353</v>
      </c>
      <c r="AO69" s="36">
        <v>362</v>
      </c>
      <c r="AP69" s="36">
        <v>323</v>
      </c>
      <c r="AQ69" s="36">
        <v>369</v>
      </c>
      <c r="AR69" s="36"/>
      <c r="AS69" s="36"/>
      <c r="AT69" s="36">
        <v>382.5</v>
      </c>
      <c r="AU69" s="36">
        <v>347.5</v>
      </c>
      <c r="AV69" s="36">
        <v>384</v>
      </c>
      <c r="AW69" s="37" t="s">
        <v>1971</v>
      </c>
      <c r="AX69" s="36">
        <v>323</v>
      </c>
      <c r="AY69" s="36">
        <v>382.5</v>
      </c>
      <c r="AZ69" s="39"/>
      <c r="BA69" s="39"/>
      <c r="BB69" s="39"/>
      <c r="BC69" s="39"/>
      <c r="BD69" s="36" t="s">
        <v>157</v>
      </c>
      <c r="BE69" s="36" t="s">
        <v>657</v>
      </c>
      <c r="BF69" s="36" t="s">
        <v>658</v>
      </c>
      <c r="BG69" s="36" t="s">
        <v>659</v>
      </c>
      <c r="BH69" s="36" t="s">
        <v>161</v>
      </c>
      <c r="BI69" s="36" t="s">
        <v>231</v>
      </c>
      <c r="BJ69" s="36" t="s">
        <v>660</v>
      </c>
      <c r="BK69" s="36" t="s">
        <v>164</v>
      </c>
      <c r="BL69" s="36" t="s">
        <v>258</v>
      </c>
      <c r="BM69" s="37" t="s">
        <v>1865</v>
      </c>
      <c r="BN69" s="36" t="s">
        <v>661</v>
      </c>
      <c r="BO69" s="36" t="s">
        <v>167</v>
      </c>
      <c r="BP69" s="40">
        <v>0</v>
      </c>
      <c r="BQ69" s="40">
        <v>0</v>
      </c>
      <c r="BR69" s="36"/>
      <c r="BS69" s="36" t="s">
        <v>168</v>
      </c>
      <c r="BT69" s="36" t="s">
        <v>234</v>
      </c>
      <c r="BU69" s="36" t="s">
        <v>662</v>
      </c>
      <c r="BV69" s="36" t="s">
        <v>663</v>
      </c>
    </row>
    <row r="70" spans="1:74" ht="78" customHeight="1">
      <c r="A70" s="53" t="s">
        <v>664</v>
      </c>
      <c r="B70" s="54" t="s">
        <v>248</v>
      </c>
      <c r="C70" s="54" t="s">
        <v>140</v>
      </c>
      <c r="D70" s="54" t="s">
        <v>355</v>
      </c>
      <c r="E70" s="54" t="s">
        <v>172</v>
      </c>
      <c r="F70" s="15">
        <v>72</v>
      </c>
      <c r="G70" s="15">
        <v>72</v>
      </c>
      <c r="H70" s="15">
        <v>72</v>
      </c>
      <c r="I70" s="54" t="s">
        <v>520</v>
      </c>
      <c r="J70" s="54" t="s">
        <v>665</v>
      </c>
      <c r="K70" s="54" t="s">
        <v>145</v>
      </c>
      <c r="L70" s="54" t="s">
        <v>195</v>
      </c>
      <c r="M70" s="54" t="s">
        <v>147</v>
      </c>
      <c r="N70" s="54" t="s">
        <v>148</v>
      </c>
      <c r="O70" s="54" t="s">
        <v>149</v>
      </c>
      <c r="P70" s="54" t="s">
        <v>150</v>
      </c>
      <c r="Q70" s="54" t="s">
        <v>151</v>
      </c>
      <c r="R70" s="54" t="s">
        <v>248</v>
      </c>
      <c r="S70" s="54">
        <v>0</v>
      </c>
      <c r="T70" s="54">
        <v>0</v>
      </c>
      <c r="U70" s="55" t="s">
        <v>2449</v>
      </c>
      <c r="V70" s="54" t="s">
        <v>168</v>
      </c>
      <c r="W70" s="55" t="s">
        <v>1874</v>
      </c>
      <c r="X70" s="55" t="s">
        <v>1921</v>
      </c>
      <c r="Y70" s="54" t="s">
        <v>41</v>
      </c>
      <c r="Z70" s="54" t="s">
        <v>41</v>
      </c>
      <c r="AA70" s="55" t="s">
        <v>1869</v>
      </c>
      <c r="AB70" s="56">
        <v>1.1000000000000001</v>
      </c>
      <c r="AC70" s="54">
        <v>2026</v>
      </c>
      <c r="AD70" s="57">
        <v>384</v>
      </c>
      <c r="AE70" s="57">
        <v>349</v>
      </c>
      <c r="AF70" s="57">
        <v>338</v>
      </c>
      <c r="AG70" s="57">
        <v>323</v>
      </c>
      <c r="AH70" s="57">
        <v>324</v>
      </c>
      <c r="AI70" s="57">
        <f t="shared" si="6"/>
        <v>343.6</v>
      </c>
      <c r="AJ70" s="57">
        <f t="shared" si="7"/>
        <v>25.005999280172748</v>
      </c>
      <c r="AK70" s="58">
        <f t="shared" si="8"/>
        <v>5</v>
      </c>
      <c r="AL70" s="54" t="s">
        <v>341</v>
      </c>
      <c r="AM70" s="54">
        <v>388</v>
      </c>
      <c r="AN70" s="54">
        <v>349</v>
      </c>
      <c r="AO70" s="54">
        <v>338</v>
      </c>
      <c r="AP70" s="54">
        <v>334</v>
      </c>
      <c r="AQ70" s="54">
        <v>341</v>
      </c>
      <c r="AR70" s="54"/>
      <c r="AS70" s="54">
        <v>358</v>
      </c>
      <c r="AT70" s="54">
        <v>363.5</v>
      </c>
      <c r="AU70" s="54">
        <v>362</v>
      </c>
      <c r="AV70" s="54">
        <v>367.5</v>
      </c>
      <c r="AW70" s="55" t="s">
        <v>1969</v>
      </c>
      <c r="AX70" s="54">
        <v>334</v>
      </c>
      <c r="AY70" s="54">
        <v>362.75</v>
      </c>
      <c r="AZ70" s="57"/>
      <c r="BA70" s="57"/>
      <c r="BB70" s="57"/>
      <c r="BC70" s="57"/>
      <c r="BD70" s="54" t="s">
        <v>157</v>
      </c>
      <c r="BE70" s="54" t="s">
        <v>514</v>
      </c>
      <c r="BF70" s="54" t="s">
        <v>217</v>
      </c>
      <c r="BG70" s="54" t="s">
        <v>329</v>
      </c>
      <c r="BH70" s="54" t="s">
        <v>161</v>
      </c>
      <c r="BI70" s="54" t="s">
        <v>231</v>
      </c>
      <c r="BJ70" s="54" t="s">
        <v>219</v>
      </c>
      <c r="BK70" s="54" t="s">
        <v>164</v>
      </c>
      <c r="BL70" s="54" t="s">
        <v>258</v>
      </c>
      <c r="BM70" s="55" t="s">
        <v>1865</v>
      </c>
      <c r="BN70" s="54" t="s">
        <v>666</v>
      </c>
      <c r="BO70" s="54" t="s">
        <v>167</v>
      </c>
      <c r="BP70" s="58">
        <v>0</v>
      </c>
      <c r="BQ70" s="58">
        <v>0</v>
      </c>
      <c r="BR70" s="54"/>
      <c r="BS70" s="54" t="s">
        <v>168</v>
      </c>
      <c r="BT70" s="54" t="s">
        <v>169</v>
      </c>
      <c r="BU70" s="54" t="s">
        <v>170</v>
      </c>
      <c r="BV70" s="54"/>
    </row>
    <row r="71" spans="1:74" ht="78" customHeight="1">
      <c r="A71" s="59" t="s">
        <v>667</v>
      </c>
      <c r="B71" s="60" t="s">
        <v>248</v>
      </c>
      <c r="C71" s="60" t="s">
        <v>140</v>
      </c>
      <c r="D71" s="60" t="s">
        <v>649</v>
      </c>
      <c r="E71" s="60" t="s">
        <v>172</v>
      </c>
      <c r="F71" s="15">
        <v>72</v>
      </c>
      <c r="G71" s="15">
        <v>72</v>
      </c>
      <c r="H71" s="15">
        <v>72</v>
      </c>
      <c r="I71" s="60" t="s">
        <v>520</v>
      </c>
      <c r="J71" s="60" t="s">
        <v>668</v>
      </c>
      <c r="K71" s="60" t="s">
        <v>145</v>
      </c>
      <c r="L71" s="60" t="s">
        <v>146</v>
      </c>
      <c r="M71" s="60" t="s">
        <v>147</v>
      </c>
      <c r="N71" s="60" t="s">
        <v>148</v>
      </c>
      <c r="O71" s="60" t="s">
        <v>149</v>
      </c>
      <c r="P71" s="60" t="s">
        <v>150</v>
      </c>
      <c r="Q71" s="60" t="s">
        <v>151</v>
      </c>
      <c r="R71" s="60" t="s">
        <v>140</v>
      </c>
      <c r="S71" s="60">
        <v>2</v>
      </c>
      <c r="T71" s="60">
        <v>2</v>
      </c>
      <c r="U71" s="61" t="s">
        <v>2450</v>
      </c>
      <c r="V71" s="60" t="s">
        <v>240</v>
      </c>
      <c r="W71" s="61" t="s">
        <v>1867</v>
      </c>
      <c r="X71" s="61" t="s">
        <v>1898</v>
      </c>
      <c r="Y71" s="60" t="s">
        <v>41</v>
      </c>
      <c r="Z71" s="60" t="s">
        <v>41</v>
      </c>
      <c r="AA71" s="61" t="s">
        <v>1869</v>
      </c>
      <c r="AB71" s="62">
        <v>1.1724137931034482</v>
      </c>
      <c r="AC71" s="60">
        <v>2026</v>
      </c>
      <c r="AD71" s="63"/>
      <c r="AE71" s="63">
        <v>349</v>
      </c>
      <c r="AF71" s="63">
        <v>338</v>
      </c>
      <c r="AG71" s="63">
        <v>323</v>
      </c>
      <c r="AH71" s="63">
        <v>324</v>
      </c>
      <c r="AI71" s="63">
        <f t="shared" si="6"/>
        <v>333.5</v>
      </c>
      <c r="AJ71" s="63">
        <f t="shared" si="7"/>
        <v>12.396235987858034</v>
      </c>
      <c r="AK71" s="64">
        <f t="shared" si="8"/>
        <v>4</v>
      </c>
      <c r="AL71" s="60" t="s">
        <v>341</v>
      </c>
      <c r="AM71" s="60"/>
      <c r="AN71" s="60">
        <v>349</v>
      </c>
      <c r="AO71" s="60">
        <v>382</v>
      </c>
      <c r="AP71" s="60">
        <v>352</v>
      </c>
      <c r="AQ71" s="60">
        <v>378</v>
      </c>
      <c r="AR71" s="60"/>
      <c r="AS71" s="60">
        <v>367</v>
      </c>
      <c r="AT71" s="60">
        <v>392.5</v>
      </c>
      <c r="AU71" s="60"/>
      <c r="AV71" s="60">
        <v>393</v>
      </c>
      <c r="AW71" s="61" t="s">
        <v>1973</v>
      </c>
      <c r="AX71" s="60">
        <v>349</v>
      </c>
      <c r="AY71" s="60">
        <v>392.5</v>
      </c>
      <c r="AZ71" s="63"/>
      <c r="BA71" s="63"/>
      <c r="BB71" s="63"/>
      <c r="BC71" s="63"/>
      <c r="BD71" s="60" t="s">
        <v>157</v>
      </c>
      <c r="BE71" s="60" t="s">
        <v>669</v>
      </c>
      <c r="BF71" s="60" t="s">
        <v>670</v>
      </c>
      <c r="BG71" s="60" t="s">
        <v>671</v>
      </c>
      <c r="BH71" s="60" t="s">
        <v>161</v>
      </c>
      <c r="BI71" s="60" t="s">
        <v>231</v>
      </c>
      <c r="BJ71" s="60" t="s">
        <v>576</v>
      </c>
      <c r="BK71" s="60" t="s">
        <v>164</v>
      </c>
      <c r="BL71" s="60" t="s">
        <v>258</v>
      </c>
      <c r="BM71" s="61" t="s">
        <v>1865</v>
      </c>
      <c r="BN71" s="60" t="s">
        <v>672</v>
      </c>
      <c r="BO71" s="60" t="s">
        <v>167</v>
      </c>
      <c r="BP71" s="64">
        <v>0</v>
      </c>
      <c r="BQ71" s="64">
        <v>0</v>
      </c>
      <c r="BR71" s="60"/>
      <c r="BS71" s="60" t="s">
        <v>168</v>
      </c>
      <c r="BT71" s="60" t="s">
        <v>169</v>
      </c>
      <c r="BU71" s="60" t="s">
        <v>170</v>
      </c>
      <c r="BV71" s="60"/>
    </row>
    <row r="72" spans="1:74" ht="78" customHeight="1">
      <c r="A72" s="41" t="s">
        <v>673</v>
      </c>
      <c r="B72" s="42" t="s">
        <v>248</v>
      </c>
      <c r="C72" s="42" t="s">
        <v>140</v>
      </c>
      <c r="D72" s="42" t="s">
        <v>674</v>
      </c>
      <c r="E72" s="42" t="s">
        <v>142</v>
      </c>
      <c r="F72" s="15">
        <v>72</v>
      </c>
      <c r="G72" s="15">
        <v>70</v>
      </c>
      <c r="H72" s="15">
        <v>71</v>
      </c>
      <c r="I72" s="42" t="s">
        <v>520</v>
      </c>
      <c r="J72" s="42" t="s">
        <v>675</v>
      </c>
      <c r="K72" s="42" t="s">
        <v>145</v>
      </c>
      <c r="L72" s="42" t="s">
        <v>146</v>
      </c>
      <c r="M72" s="42" t="s">
        <v>147</v>
      </c>
      <c r="N72" s="42" t="s">
        <v>148</v>
      </c>
      <c r="O72" s="42" t="s">
        <v>676</v>
      </c>
      <c r="P72" s="42" t="s">
        <v>150</v>
      </c>
      <c r="Q72" s="42" t="s">
        <v>151</v>
      </c>
      <c r="R72" s="42" t="s">
        <v>140</v>
      </c>
      <c r="S72" s="42">
        <v>1</v>
      </c>
      <c r="T72" s="42">
        <v>1</v>
      </c>
      <c r="U72" s="43" t="s">
        <v>2451</v>
      </c>
      <c r="V72" s="42" t="s">
        <v>240</v>
      </c>
      <c r="W72" s="43" t="s">
        <v>1867</v>
      </c>
      <c r="X72" s="42" t="s">
        <v>677</v>
      </c>
      <c r="Y72" s="42" t="s">
        <v>678</v>
      </c>
      <c r="Z72" s="42" t="s">
        <v>41</v>
      </c>
      <c r="AA72" s="42" t="s">
        <v>525</v>
      </c>
      <c r="AB72" s="44">
        <v>1.1666666666666667</v>
      </c>
      <c r="AC72" s="42">
        <v>2026</v>
      </c>
      <c r="AD72" s="45">
        <v>365</v>
      </c>
      <c r="AE72" s="45">
        <v>346</v>
      </c>
      <c r="AF72" s="45">
        <v>338</v>
      </c>
      <c r="AG72" s="45">
        <v>323</v>
      </c>
      <c r="AH72" s="45">
        <v>324</v>
      </c>
      <c r="AI72" s="45">
        <f t="shared" si="6"/>
        <v>339.2</v>
      </c>
      <c r="AJ72" s="45">
        <f t="shared" si="7"/>
        <v>17.369513522260778</v>
      </c>
      <c r="AK72" s="46">
        <f t="shared" si="8"/>
        <v>5</v>
      </c>
      <c r="AL72" s="42" t="s">
        <v>341</v>
      </c>
      <c r="AM72" s="42"/>
      <c r="AN72" s="42">
        <v>346</v>
      </c>
      <c r="AO72" s="42">
        <v>371</v>
      </c>
      <c r="AP72" s="42">
        <v>367</v>
      </c>
      <c r="AQ72" s="42">
        <v>326</v>
      </c>
      <c r="AR72" s="42"/>
      <c r="AS72" s="42"/>
      <c r="AT72" s="42">
        <v>393.5</v>
      </c>
      <c r="AU72" s="42">
        <v>372</v>
      </c>
      <c r="AV72" s="42">
        <v>341</v>
      </c>
      <c r="AW72" s="43" t="s">
        <v>1971</v>
      </c>
      <c r="AX72" s="42">
        <v>326</v>
      </c>
      <c r="AY72" s="42">
        <v>372</v>
      </c>
      <c r="AZ72" s="45"/>
      <c r="BA72" s="45"/>
      <c r="BB72" s="45"/>
      <c r="BC72" s="45"/>
      <c r="BD72" s="42" t="s">
        <v>157</v>
      </c>
      <c r="BE72" s="42" t="s">
        <v>679</v>
      </c>
      <c r="BF72" s="42" t="s">
        <v>263</v>
      </c>
      <c r="BG72" s="42" t="s">
        <v>279</v>
      </c>
      <c r="BH72" s="42" t="s">
        <v>161</v>
      </c>
      <c r="BI72" s="42" t="s">
        <v>162</v>
      </c>
      <c r="BJ72" s="42" t="s">
        <v>296</v>
      </c>
      <c r="BK72" s="42" t="s">
        <v>164</v>
      </c>
      <c r="BL72" s="42" t="s">
        <v>258</v>
      </c>
      <c r="BM72" s="43" t="s">
        <v>1865</v>
      </c>
      <c r="BN72" s="42" t="s">
        <v>680</v>
      </c>
      <c r="BO72" s="42" t="s">
        <v>167</v>
      </c>
      <c r="BP72" s="46">
        <v>0</v>
      </c>
      <c r="BQ72" s="46">
        <v>0</v>
      </c>
      <c r="BR72" s="42"/>
      <c r="BS72" s="42" t="s">
        <v>168</v>
      </c>
      <c r="BT72" s="42" t="s">
        <v>169</v>
      </c>
      <c r="BU72" s="42" t="s">
        <v>170</v>
      </c>
      <c r="BV72" s="42"/>
    </row>
    <row r="73" spans="1:74" ht="78" customHeight="1">
      <c r="A73" s="59" t="s">
        <v>681</v>
      </c>
      <c r="B73" s="60" t="s">
        <v>248</v>
      </c>
      <c r="C73" s="60" t="s">
        <v>140</v>
      </c>
      <c r="D73" s="60" t="s">
        <v>682</v>
      </c>
      <c r="E73" s="60" t="s">
        <v>172</v>
      </c>
      <c r="F73" s="15">
        <v>71</v>
      </c>
      <c r="G73" s="15">
        <v>71</v>
      </c>
      <c r="H73" s="15">
        <v>71</v>
      </c>
      <c r="I73" s="60" t="s">
        <v>520</v>
      </c>
      <c r="J73" s="60" t="s">
        <v>683</v>
      </c>
      <c r="K73" s="60" t="s">
        <v>145</v>
      </c>
      <c r="L73" s="60" t="s">
        <v>146</v>
      </c>
      <c r="M73" s="60" t="s">
        <v>147</v>
      </c>
      <c r="N73" s="60" t="s">
        <v>148</v>
      </c>
      <c r="O73" s="60" t="s">
        <v>149</v>
      </c>
      <c r="P73" s="60" t="s">
        <v>150</v>
      </c>
      <c r="Q73" s="60" t="s">
        <v>151</v>
      </c>
      <c r="R73" s="60" t="s">
        <v>140</v>
      </c>
      <c r="S73" s="60">
        <v>1</v>
      </c>
      <c r="T73" s="60">
        <v>1</v>
      </c>
      <c r="U73" s="61" t="s">
        <v>2452</v>
      </c>
      <c r="V73" s="60" t="s">
        <v>240</v>
      </c>
      <c r="W73" s="61" t="s">
        <v>1867</v>
      </c>
      <c r="X73" s="61" t="s">
        <v>1942</v>
      </c>
      <c r="Y73" s="60" t="s">
        <v>41</v>
      </c>
      <c r="Z73" s="60" t="s">
        <v>41</v>
      </c>
      <c r="AA73" s="61" t="s">
        <v>1869</v>
      </c>
      <c r="AB73" s="62">
        <v>1.2241379310344829</v>
      </c>
      <c r="AC73" s="60">
        <v>2026</v>
      </c>
      <c r="AD73" s="63">
        <v>370</v>
      </c>
      <c r="AE73" s="63">
        <v>364</v>
      </c>
      <c r="AF73" s="63">
        <v>338</v>
      </c>
      <c r="AG73" s="63">
        <v>323</v>
      </c>
      <c r="AH73" s="63">
        <v>324</v>
      </c>
      <c r="AI73" s="63">
        <f t="shared" si="6"/>
        <v>343.8</v>
      </c>
      <c r="AJ73" s="63">
        <f t="shared" si="7"/>
        <v>22.095248357961491</v>
      </c>
      <c r="AK73" s="64">
        <f t="shared" si="8"/>
        <v>5</v>
      </c>
      <c r="AL73" s="60" t="s">
        <v>341</v>
      </c>
      <c r="AM73" s="60"/>
      <c r="AN73" s="60">
        <v>364</v>
      </c>
      <c r="AO73" s="60">
        <v>377</v>
      </c>
      <c r="AP73" s="60">
        <v>366</v>
      </c>
      <c r="AQ73" s="60">
        <v>383</v>
      </c>
      <c r="AR73" s="60"/>
      <c r="AS73" s="60"/>
      <c r="AT73" s="60"/>
      <c r="AU73" s="60"/>
      <c r="AV73" s="60">
        <v>396.5</v>
      </c>
      <c r="AW73" s="61" t="s">
        <v>1972</v>
      </c>
      <c r="AX73" s="60">
        <v>364</v>
      </c>
      <c r="AY73" s="60">
        <v>396.5</v>
      </c>
      <c r="AZ73" s="63"/>
      <c r="BA73" s="63"/>
      <c r="BB73" s="63"/>
      <c r="BC73" s="63"/>
      <c r="BD73" s="60" t="s">
        <v>157</v>
      </c>
      <c r="BE73" s="60" t="s">
        <v>684</v>
      </c>
      <c r="BF73" s="60" t="s">
        <v>229</v>
      </c>
      <c r="BG73" s="60" t="s">
        <v>685</v>
      </c>
      <c r="BH73" s="60" t="s">
        <v>161</v>
      </c>
      <c r="BI73" s="60" t="s">
        <v>231</v>
      </c>
      <c r="BJ73" s="60" t="s">
        <v>319</v>
      </c>
      <c r="BK73" s="60" t="s">
        <v>164</v>
      </c>
      <c r="BL73" s="60" t="s">
        <v>258</v>
      </c>
      <c r="BM73" s="61" t="s">
        <v>1865</v>
      </c>
      <c r="BN73" s="60" t="s">
        <v>202</v>
      </c>
      <c r="BO73" s="60" t="s">
        <v>167</v>
      </c>
      <c r="BP73" s="64">
        <v>0</v>
      </c>
      <c r="BQ73" s="64">
        <v>0</v>
      </c>
      <c r="BR73" s="60"/>
      <c r="BS73" s="60" t="s">
        <v>168</v>
      </c>
      <c r="BT73" s="60" t="s">
        <v>169</v>
      </c>
      <c r="BU73" s="60" t="s">
        <v>170</v>
      </c>
      <c r="BV73" s="60"/>
    </row>
    <row r="74" spans="1:74" ht="78" customHeight="1">
      <c r="A74" s="59" t="s">
        <v>686</v>
      </c>
      <c r="B74" s="60" t="s">
        <v>248</v>
      </c>
      <c r="C74" s="60" t="s">
        <v>140</v>
      </c>
      <c r="D74" s="60" t="s">
        <v>355</v>
      </c>
      <c r="E74" s="60" t="s">
        <v>172</v>
      </c>
      <c r="F74" s="15">
        <v>70</v>
      </c>
      <c r="G74" s="15">
        <v>68</v>
      </c>
      <c r="H74" s="15">
        <v>69</v>
      </c>
      <c r="I74" s="60" t="s">
        <v>520</v>
      </c>
      <c r="J74" s="60" t="s">
        <v>687</v>
      </c>
      <c r="K74" s="60" t="s">
        <v>145</v>
      </c>
      <c r="L74" s="60" t="s">
        <v>146</v>
      </c>
      <c r="M74" s="60" t="s">
        <v>147</v>
      </c>
      <c r="N74" s="60" t="s">
        <v>148</v>
      </c>
      <c r="O74" s="60" t="s">
        <v>149</v>
      </c>
      <c r="P74" s="60" t="s">
        <v>150</v>
      </c>
      <c r="Q74" s="60" t="s">
        <v>151</v>
      </c>
      <c r="R74" s="60" t="s">
        <v>140</v>
      </c>
      <c r="S74" s="60">
        <v>1</v>
      </c>
      <c r="T74" s="60">
        <v>1</v>
      </c>
      <c r="U74" s="61" t="s">
        <v>2453</v>
      </c>
      <c r="V74" s="60" t="s">
        <v>240</v>
      </c>
      <c r="W74" s="61" t="s">
        <v>1867</v>
      </c>
      <c r="X74" s="61" t="s">
        <v>1952</v>
      </c>
      <c r="Y74" s="60" t="s">
        <v>41</v>
      </c>
      <c r="Z74" s="60" t="s">
        <v>41</v>
      </c>
      <c r="AA74" s="61" t="s">
        <v>1869</v>
      </c>
      <c r="AB74" s="62">
        <v>1</v>
      </c>
      <c r="AC74" s="60">
        <v>2026</v>
      </c>
      <c r="AD74" s="63"/>
      <c r="AE74" s="63"/>
      <c r="AF74" s="63">
        <v>338</v>
      </c>
      <c r="AG74" s="63">
        <v>323</v>
      </c>
      <c r="AH74" s="63">
        <v>324</v>
      </c>
      <c r="AI74" s="63">
        <f t="shared" si="6"/>
        <v>328.33333333333331</v>
      </c>
      <c r="AJ74" s="63">
        <f t="shared" si="7"/>
        <v>8.3864970836060841</v>
      </c>
      <c r="AK74" s="64">
        <f t="shared" si="8"/>
        <v>3</v>
      </c>
      <c r="AL74" s="60" t="s">
        <v>357</v>
      </c>
      <c r="AM74" s="60"/>
      <c r="AN74" s="60"/>
      <c r="AO74" s="60">
        <v>404</v>
      </c>
      <c r="AP74" s="60"/>
      <c r="AQ74" s="60">
        <v>372</v>
      </c>
      <c r="AR74" s="60"/>
      <c r="AS74" s="60"/>
      <c r="AT74" s="60">
        <v>408.5</v>
      </c>
      <c r="AU74" s="60"/>
      <c r="AV74" s="60">
        <v>396</v>
      </c>
      <c r="AW74" s="61" t="s">
        <v>1970</v>
      </c>
      <c r="AX74" s="60">
        <v>372</v>
      </c>
      <c r="AY74" s="60">
        <v>402.25</v>
      </c>
      <c r="AZ74" s="63"/>
      <c r="BA74" s="63"/>
      <c r="BB74" s="63"/>
      <c r="BC74" s="63"/>
      <c r="BD74" s="60" t="s">
        <v>157</v>
      </c>
      <c r="BE74" s="60" t="s">
        <v>688</v>
      </c>
      <c r="BF74" s="60" t="s">
        <v>217</v>
      </c>
      <c r="BG74" s="60" t="s">
        <v>449</v>
      </c>
      <c r="BH74" s="60" t="s">
        <v>161</v>
      </c>
      <c r="BI74" s="60" t="s">
        <v>361</v>
      </c>
      <c r="BJ74" s="60" t="s">
        <v>361</v>
      </c>
      <c r="BK74" s="60" t="s">
        <v>362</v>
      </c>
      <c r="BL74" s="60" t="s">
        <v>258</v>
      </c>
      <c r="BM74" s="61" t="s">
        <v>1865</v>
      </c>
      <c r="BN74" s="60" t="s">
        <v>363</v>
      </c>
      <c r="BO74" s="60" t="s">
        <v>167</v>
      </c>
      <c r="BP74" s="64">
        <v>0</v>
      </c>
      <c r="BQ74" s="64">
        <v>0</v>
      </c>
      <c r="BR74" s="60"/>
      <c r="BS74" s="60" t="s">
        <v>168</v>
      </c>
      <c r="BT74" s="60" t="s">
        <v>169</v>
      </c>
      <c r="BU74" s="60" t="s">
        <v>170</v>
      </c>
      <c r="BV74" s="60"/>
    </row>
    <row r="75" spans="1:74" ht="78" customHeight="1">
      <c r="A75" s="41" t="s">
        <v>709</v>
      </c>
      <c r="B75" s="42" t="s">
        <v>248</v>
      </c>
      <c r="C75" s="42" t="s">
        <v>140</v>
      </c>
      <c r="D75" s="42" t="s">
        <v>710</v>
      </c>
      <c r="E75" s="42" t="s">
        <v>172</v>
      </c>
      <c r="F75" s="15">
        <v>64</v>
      </c>
      <c r="G75" s="15">
        <v>62</v>
      </c>
      <c r="H75" s="15">
        <v>63</v>
      </c>
      <c r="I75" s="42" t="s">
        <v>690</v>
      </c>
      <c r="J75" s="42" t="s">
        <v>711</v>
      </c>
      <c r="K75" s="42" t="s">
        <v>145</v>
      </c>
      <c r="L75" s="42" t="s">
        <v>146</v>
      </c>
      <c r="M75" s="42" t="s">
        <v>147</v>
      </c>
      <c r="N75" s="42" t="s">
        <v>148</v>
      </c>
      <c r="O75" s="42" t="s">
        <v>149</v>
      </c>
      <c r="P75" s="42" t="s">
        <v>150</v>
      </c>
      <c r="Q75" s="42" t="s">
        <v>151</v>
      </c>
      <c r="R75" s="42" t="s">
        <v>248</v>
      </c>
      <c r="S75" s="42">
        <v>0</v>
      </c>
      <c r="T75" s="42">
        <v>0</v>
      </c>
      <c r="U75" s="43" t="s">
        <v>2454</v>
      </c>
      <c r="V75" s="42" t="s">
        <v>168</v>
      </c>
      <c r="W75" s="43" t="s">
        <v>1881</v>
      </c>
      <c r="X75" s="43" t="s">
        <v>1938</v>
      </c>
      <c r="Y75" s="42" t="s">
        <v>41</v>
      </c>
      <c r="Z75" s="42" t="s">
        <v>41</v>
      </c>
      <c r="AA75" s="43" t="s">
        <v>1869</v>
      </c>
      <c r="AB75" s="44">
        <v>1</v>
      </c>
      <c r="AC75" s="42">
        <v>2026</v>
      </c>
      <c r="AD75" s="45"/>
      <c r="AE75" s="45"/>
      <c r="AF75" s="45"/>
      <c r="AG75" s="45">
        <v>323</v>
      </c>
      <c r="AH75" s="45">
        <v>324</v>
      </c>
      <c r="AI75" s="45">
        <f t="shared" si="6"/>
        <v>323.5</v>
      </c>
      <c r="AJ75" s="45">
        <f t="shared" si="7"/>
        <v>0.70710678118654757</v>
      </c>
      <c r="AK75" s="46">
        <f t="shared" si="8"/>
        <v>2</v>
      </c>
      <c r="AL75" s="42" t="s">
        <v>445</v>
      </c>
      <c r="AM75" s="42"/>
      <c r="AN75" s="42"/>
      <c r="AO75" s="42"/>
      <c r="AP75" s="42">
        <v>326</v>
      </c>
      <c r="AQ75" s="42">
        <v>345</v>
      </c>
      <c r="AR75" s="42"/>
      <c r="AS75" s="42"/>
      <c r="AT75" s="42"/>
      <c r="AU75" s="42"/>
      <c r="AV75" s="42">
        <v>353</v>
      </c>
      <c r="AW75" s="43" t="s">
        <v>1972</v>
      </c>
      <c r="AX75" s="42">
        <v>326</v>
      </c>
      <c r="AY75" s="42">
        <v>353</v>
      </c>
      <c r="AZ75" s="45"/>
      <c r="BA75" s="45"/>
      <c r="BB75" s="45"/>
      <c r="BC75" s="45"/>
      <c r="BD75" s="42" t="s">
        <v>157</v>
      </c>
      <c r="BE75" s="42" t="s">
        <v>712</v>
      </c>
      <c r="BF75" s="42" t="s">
        <v>713</v>
      </c>
      <c r="BG75" s="42" t="s">
        <v>714</v>
      </c>
      <c r="BH75" s="42" t="s">
        <v>161</v>
      </c>
      <c r="BI75" s="42" t="s">
        <v>361</v>
      </c>
      <c r="BJ75" s="42" t="s">
        <v>361</v>
      </c>
      <c r="BK75" s="42" t="s">
        <v>362</v>
      </c>
      <c r="BL75" s="42" t="s">
        <v>258</v>
      </c>
      <c r="BM75" s="43" t="s">
        <v>1865</v>
      </c>
      <c r="BN75" s="42" t="s">
        <v>363</v>
      </c>
      <c r="BO75" s="42" t="s">
        <v>167</v>
      </c>
      <c r="BP75" s="46">
        <v>0</v>
      </c>
      <c r="BQ75" s="46">
        <v>0</v>
      </c>
      <c r="BR75" s="42"/>
      <c r="BS75" s="42" t="s">
        <v>168</v>
      </c>
      <c r="BT75" s="42" t="s">
        <v>169</v>
      </c>
      <c r="BU75" s="42" t="s">
        <v>170</v>
      </c>
      <c r="BV75" s="42"/>
    </row>
    <row r="76" spans="1:74" ht="78" customHeight="1">
      <c r="A76" s="59" t="s">
        <v>715</v>
      </c>
      <c r="B76" s="60" t="s">
        <v>248</v>
      </c>
      <c r="C76" s="60" t="s">
        <v>140</v>
      </c>
      <c r="D76" s="60" t="s">
        <v>355</v>
      </c>
      <c r="E76" s="60" t="s">
        <v>172</v>
      </c>
      <c r="F76" s="15">
        <v>64</v>
      </c>
      <c r="G76" s="15">
        <v>62</v>
      </c>
      <c r="H76" s="15">
        <v>63</v>
      </c>
      <c r="I76" s="60" t="s">
        <v>690</v>
      </c>
      <c r="J76" s="60" t="s">
        <v>716</v>
      </c>
      <c r="K76" s="60" t="s">
        <v>145</v>
      </c>
      <c r="L76" s="60" t="s">
        <v>146</v>
      </c>
      <c r="M76" s="60" t="s">
        <v>147</v>
      </c>
      <c r="N76" s="60" t="s">
        <v>148</v>
      </c>
      <c r="O76" s="60" t="s">
        <v>149</v>
      </c>
      <c r="P76" s="60" t="s">
        <v>150</v>
      </c>
      <c r="Q76" s="60" t="s">
        <v>151</v>
      </c>
      <c r="R76" s="60" t="s">
        <v>248</v>
      </c>
      <c r="S76" s="60">
        <v>0</v>
      </c>
      <c r="T76" s="60">
        <v>0</v>
      </c>
      <c r="U76" s="61" t="s">
        <v>2455</v>
      </c>
      <c r="V76" s="60" t="s">
        <v>168</v>
      </c>
      <c r="W76" s="61" t="s">
        <v>1881</v>
      </c>
      <c r="X76" s="61" t="s">
        <v>1964</v>
      </c>
      <c r="Y76" s="60" t="s">
        <v>41</v>
      </c>
      <c r="Z76" s="60" t="s">
        <v>41</v>
      </c>
      <c r="AA76" s="61" t="s">
        <v>1869</v>
      </c>
      <c r="AB76" s="62">
        <v>1.3333333333333333</v>
      </c>
      <c r="AC76" s="60">
        <v>2026</v>
      </c>
      <c r="AD76" s="63"/>
      <c r="AE76" s="63"/>
      <c r="AF76" s="63">
        <v>338</v>
      </c>
      <c r="AG76" s="63">
        <v>323</v>
      </c>
      <c r="AH76" s="63">
        <v>324</v>
      </c>
      <c r="AI76" s="63">
        <f t="shared" si="6"/>
        <v>328.33333333333331</v>
      </c>
      <c r="AJ76" s="63">
        <f t="shared" si="7"/>
        <v>8.3864970836060841</v>
      </c>
      <c r="AK76" s="64">
        <f t="shared" si="8"/>
        <v>3</v>
      </c>
      <c r="AL76" s="60" t="s">
        <v>357</v>
      </c>
      <c r="AM76" s="60"/>
      <c r="AN76" s="60"/>
      <c r="AO76" s="60">
        <v>340</v>
      </c>
      <c r="AP76" s="60">
        <v>327</v>
      </c>
      <c r="AQ76" s="60">
        <v>326</v>
      </c>
      <c r="AR76" s="60"/>
      <c r="AS76" s="60"/>
      <c r="AT76" s="60">
        <v>366.5</v>
      </c>
      <c r="AU76" s="60">
        <v>352</v>
      </c>
      <c r="AV76" s="60">
        <v>356</v>
      </c>
      <c r="AW76" s="61" t="s">
        <v>1971</v>
      </c>
      <c r="AX76" s="60">
        <v>326</v>
      </c>
      <c r="AY76" s="60">
        <v>356</v>
      </c>
      <c r="AZ76" s="63"/>
      <c r="BA76" s="63"/>
      <c r="BB76" s="63"/>
      <c r="BC76" s="63"/>
      <c r="BD76" s="60" t="s">
        <v>157</v>
      </c>
      <c r="BE76" s="60" t="s">
        <v>712</v>
      </c>
      <c r="BF76" s="60" t="s">
        <v>713</v>
      </c>
      <c r="BG76" s="60" t="s">
        <v>714</v>
      </c>
      <c r="BH76" s="60" t="s">
        <v>161</v>
      </c>
      <c r="BI76" s="60" t="s">
        <v>361</v>
      </c>
      <c r="BJ76" s="60" t="s">
        <v>361</v>
      </c>
      <c r="BK76" s="60" t="s">
        <v>362</v>
      </c>
      <c r="BL76" s="60" t="s">
        <v>258</v>
      </c>
      <c r="BM76" s="61" t="s">
        <v>1865</v>
      </c>
      <c r="BN76" s="60" t="s">
        <v>363</v>
      </c>
      <c r="BO76" s="60" t="s">
        <v>167</v>
      </c>
      <c r="BP76" s="64">
        <v>0</v>
      </c>
      <c r="BQ76" s="64">
        <v>0</v>
      </c>
      <c r="BR76" s="60"/>
      <c r="BS76" s="60" t="s">
        <v>168</v>
      </c>
      <c r="BT76" s="60" t="s">
        <v>169</v>
      </c>
      <c r="BU76" s="60" t="s">
        <v>170</v>
      </c>
      <c r="BV76" s="60"/>
    </row>
    <row r="77" spans="1:74" ht="78" customHeight="1">
      <c r="A77" s="53" t="s">
        <v>725</v>
      </c>
      <c r="B77" s="54" t="s">
        <v>248</v>
      </c>
      <c r="C77" s="54" t="s">
        <v>140</v>
      </c>
      <c r="D77" s="54" t="s">
        <v>355</v>
      </c>
      <c r="E77" s="54" t="s">
        <v>172</v>
      </c>
      <c r="F77" s="15">
        <v>61</v>
      </c>
      <c r="G77" s="15">
        <v>61</v>
      </c>
      <c r="H77" s="15">
        <v>61</v>
      </c>
      <c r="I77" s="54" t="s">
        <v>690</v>
      </c>
      <c r="J77" s="54" t="s">
        <v>698</v>
      </c>
      <c r="K77" s="54" t="s">
        <v>145</v>
      </c>
      <c r="L77" s="54" t="s">
        <v>146</v>
      </c>
      <c r="M77" s="54" t="s">
        <v>147</v>
      </c>
      <c r="N77" s="54" t="s">
        <v>148</v>
      </c>
      <c r="O77" s="54" t="s">
        <v>149</v>
      </c>
      <c r="P77" s="54" t="s">
        <v>150</v>
      </c>
      <c r="Q77" s="54" t="s">
        <v>151</v>
      </c>
      <c r="R77" s="54" t="s">
        <v>248</v>
      </c>
      <c r="S77" s="54">
        <v>0</v>
      </c>
      <c r="T77" s="54">
        <v>0</v>
      </c>
      <c r="U77" s="55" t="s">
        <v>2456</v>
      </c>
      <c r="V77" s="54" t="s">
        <v>168</v>
      </c>
      <c r="W77" s="55" t="s">
        <v>1881</v>
      </c>
      <c r="X77" s="55" t="s">
        <v>1916</v>
      </c>
      <c r="Y77" s="54" t="s">
        <v>41</v>
      </c>
      <c r="Z77" s="54" t="s">
        <v>41</v>
      </c>
      <c r="AA77" s="55" t="s">
        <v>1869</v>
      </c>
      <c r="AB77" s="56">
        <v>1.1666666666666667</v>
      </c>
      <c r="AC77" s="54">
        <v>2026</v>
      </c>
      <c r="AD77" s="57">
        <v>360</v>
      </c>
      <c r="AE77" s="57">
        <v>378</v>
      </c>
      <c r="AF77" s="57">
        <v>338</v>
      </c>
      <c r="AG77" s="57">
        <v>323</v>
      </c>
      <c r="AH77" s="57">
        <v>324</v>
      </c>
      <c r="AI77" s="57">
        <f t="shared" si="6"/>
        <v>344.6</v>
      </c>
      <c r="AJ77" s="57">
        <f t="shared" si="7"/>
        <v>23.912339910598462</v>
      </c>
      <c r="AK77" s="58">
        <f t="shared" si="8"/>
        <v>5</v>
      </c>
      <c r="AL77" s="54" t="s">
        <v>341</v>
      </c>
      <c r="AM77" s="54"/>
      <c r="AN77" s="54">
        <v>378</v>
      </c>
      <c r="AO77" s="54">
        <v>339</v>
      </c>
      <c r="AP77" s="54">
        <v>315</v>
      </c>
      <c r="AQ77" s="54">
        <v>316</v>
      </c>
      <c r="AR77" s="54"/>
      <c r="AS77" s="54">
        <v>381.5</v>
      </c>
      <c r="AT77" s="54">
        <v>343</v>
      </c>
      <c r="AU77" s="54"/>
      <c r="AV77" s="54">
        <v>335.5</v>
      </c>
      <c r="AW77" s="55" t="s">
        <v>1973</v>
      </c>
      <c r="AX77" s="54">
        <v>315</v>
      </c>
      <c r="AY77" s="54">
        <v>343</v>
      </c>
      <c r="AZ77" s="57"/>
      <c r="BA77" s="57"/>
      <c r="BB77" s="57"/>
      <c r="BC77" s="57"/>
      <c r="BD77" s="54" t="s">
        <v>157</v>
      </c>
      <c r="BE77" s="54" t="s">
        <v>726</v>
      </c>
      <c r="BF77" s="54" t="s">
        <v>727</v>
      </c>
      <c r="BG77" s="54" t="s">
        <v>728</v>
      </c>
      <c r="BH77" s="54" t="s">
        <v>161</v>
      </c>
      <c r="BI77" s="54" t="s">
        <v>162</v>
      </c>
      <c r="BJ77" s="54" t="s">
        <v>296</v>
      </c>
      <c r="BK77" s="54" t="s">
        <v>164</v>
      </c>
      <c r="BL77" s="54" t="s">
        <v>258</v>
      </c>
      <c r="BM77" s="55" t="s">
        <v>1865</v>
      </c>
      <c r="BN77" s="54" t="s">
        <v>337</v>
      </c>
      <c r="BO77" s="54" t="s">
        <v>167</v>
      </c>
      <c r="BP77" s="58">
        <v>0</v>
      </c>
      <c r="BQ77" s="58">
        <v>0</v>
      </c>
      <c r="BR77" s="54"/>
      <c r="BS77" s="54" t="s">
        <v>168</v>
      </c>
      <c r="BT77" s="54" t="s">
        <v>169</v>
      </c>
      <c r="BU77" s="54" t="s">
        <v>170</v>
      </c>
      <c r="BV77" s="54"/>
    </row>
    <row r="78" spans="1:74" ht="78" customHeight="1">
      <c r="A78" s="41" t="s">
        <v>622</v>
      </c>
      <c r="B78" s="42" t="s">
        <v>248</v>
      </c>
      <c r="C78" s="42" t="s">
        <v>140</v>
      </c>
      <c r="D78" s="42" t="s">
        <v>259</v>
      </c>
      <c r="E78" s="42" t="s">
        <v>172</v>
      </c>
      <c r="F78" s="15">
        <v>74</v>
      </c>
      <c r="G78" s="15">
        <v>74</v>
      </c>
      <c r="H78" s="15">
        <v>74</v>
      </c>
      <c r="I78" s="42" t="s">
        <v>520</v>
      </c>
      <c r="J78" s="42" t="s">
        <v>623</v>
      </c>
      <c r="K78" s="42" t="s">
        <v>145</v>
      </c>
      <c r="L78" s="42" t="s">
        <v>146</v>
      </c>
      <c r="M78" s="42" t="s">
        <v>147</v>
      </c>
      <c r="N78" s="42" t="s">
        <v>148</v>
      </c>
      <c r="O78" s="42" t="s">
        <v>149</v>
      </c>
      <c r="P78" s="42" t="s">
        <v>150</v>
      </c>
      <c r="Q78" s="42" t="s">
        <v>151</v>
      </c>
      <c r="R78" s="42" t="s">
        <v>140</v>
      </c>
      <c r="S78" s="42">
        <v>1</v>
      </c>
      <c r="T78" s="42">
        <v>1</v>
      </c>
      <c r="U78" s="43" t="s">
        <v>2457</v>
      </c>
      <c r="V78" s="42" t="s">
        <v>240</v>
      </c>
      <c r="W78" s="43" t="s">
        <v>1867</v>
      </c>
      <c r="X78" s="43" t="s">
        <v>1959</v>
      </c>
      <c r="Y78" s="42" t="s">
        <v>41</v>
      </c>
      <c r="Z78" s="42" t="s">
        <v>41</v>
      </c>
      <c r="AA78" s="43" t="s">
        <v>1877</v>
      </c>
      <c r="AB78" s="44">
        <v>1.1379310344827589</v>
      </c>
      <c r="AC78" s="42">
        <v>2026</v>
      </c>
      <c r="AD78" s="45">
        <v>350</v>
      </c>
      <c r="AE78" s="45">
        <v>336</v>
      </c>
      <c r="AF78" s="45">
        <v>328</v>
      </c>
      <c r="AG78" s="45">
        <v>313</v>
      </c>
      <c r="AH78" s="45">
        <v>314</v>
      </c>
      <c r="AI78" s="45">
        <f t="shared" si="6"/>
        <v>328.2</v>
      </c>
      <c r="AJ78" s="45">
        <f t="shared" si="7"/>
        <v>15.56277610196844</v>
      </c>
      <c r="AK78" s="46">
        <f t="shared" si="8"/>
        <v>5</v>
      </c>
      <c r="AL78" s="42" t="s">
        <v>341</v>
      </c>
      <c r="AM78" s="42"/>
      <c r="AN78" s="42">
        <v>341</v>
      </c>
      <c r="AO78" s="42">
        <v>331</v>
      </c>
      <c r="AP78" s="42">
        <v>318</v>
      </c>
      <c r="AQ78" s="42">
        <v>339</v>
      </c>
      <c r="AR78" s="42"/>
      <c r="AS78" s="42"/>
      <c r="AT78" s="42"/>
      <c r="AU78" s="42"/>
      <c r="AV78" s="42">
        <v>364</v>
      </c>
      <c r="AW78" s="43" t="s">
        <v>1972</v>
      </c>
      <c r="AX78" s="42">
        <v>318</v>
      </c>
      <c r="AY78" s="42">
        <v>364</v>
      </c>
      <c r="AZ78" s="45"/>
      <c r="BA78" s="45"/>
      <c r="BB78" s="45"/>
      <c r="BC78" s="45"/>
      <c r="BD78" s="42" t="s">
        <v>157</v>
      </c>
      <c r="BE78" s="42" t="s">
        <v>624</v>
      </c>
      <c r="BF78" s="42" t="s">
        <v>625</v>
      </c>
      <c r="BG78" s="42" t="s">
        <v>626</v>
      </c>
      <c r="BH78" s="42" t="s">
        <v>161</v>
      </c>
      <c r="BI78" s="42" t="s">
        <v>231</v>
      </c>
      <c r="BJ78" s="42" t="s">
        <v>576</v>
      </c>
      <c r="BK78" s="42" t="s">
        <v>164</v>
      </c>
      <c r="BL78" s="42" t="s">
        <v>258</v>
      </c>
      <c r="BM78" s="43" t="s">
        <v>1865</v>
      </c>
      <c r="BN78" s="42" t="s">
        <v>627</v>
      </c>
      <c r="BO78" s="42" t="s">
        <v>167</v>
      </c>
      <c r="BP78" s="46">
        <v>0</v>
      </c>
      <c r="BQ78" s="46">
        <v>0</v>
      </c>
      <c r="BR78" s="42"/>
      <c r="BS78" s="42" t="s">
        <v>168</v>
      </c>
      <c r="BT78" s="42" t="s">
        <v>169</v>
      </c>
      <c r="BU78" s="42" t="s">
        <v>170</v>
      </c>
      <c r="BV78" s="42"/>
    </row>
    <row r="79" spans="1:74" ht="78" customHeight="1">
      <c r="A79" s="53" t="s">
        <v>697</v>
      </c>
      <c r="B79" s="54" t="s">
        <v>248</v>
      </c>
      <c r="C79" s="54" t="s">
        <v>140</v>
      </c>
      <c r="D79" s="54" t="s">
        <v>259</v>
      </c>
      <c r="E79" s="54" t="s">
        <v>172</v>
      </c>
      <c r="F79" s="15">
        <v>65</v>
      </c>
      <c r="G79" s="15">
        <v>65</v>
      </c>
      <c r="H79" s="15">
        <v>65</v>
      </c>
      <c r="I79" s="54" t="s">
        <v>690</v>
      </c>
      <c r="J79" s="54" t="s">
        <v>698</v>
      </c>
      <c r="K79" s="54" t="s">
        <v>145</v>
      </c>
      <c r="L79" s="54" t="s">
        <v>146</v>
      </c>
      <c r="M79" s="54" t="s">
        <v>147</v>
      </c>
      <c r="N79" s="54" t="s">
        <v>148</v>
      </c>
      <c r="O79" s="54" t="s">
        <v>149</v>
      </c>
      <c r="P79" s="54" t="s">
        <v>150</v>
      </c>
      <c r="Q79" s="54" t="s">
        <v>151</v>
      </c>
      <c r="R79" s="54" t="s">
        <v>248</v>
      </c>
      <c r="S79" s="54">
        <v>0</v>
      </c>
      <c r="T79" s="54">
        <v>0</v>
      </c>
      <c r="U79" s="55" t="s">
        <v>2458</v>
      </c>
      <c r="V79" s="54" t="s">
        <v>168</v>
      </c>
      <c r="W79" s="55" t="s">
        <v>1881</v>
      </c>
      <c r="X79" s="55" t="s">
        <v>1960</v>
      </c>
      <c r="Y79" s="54" t="s">
        <v>41</v>
      </c>
      <c r="Z79" s="54" t="s">
        <v>41</v>
      </c>
      <c r="AA79" s="55" t="s">
        <v>1869</v>
      </c>
      <c r="AB79" s="56">
        <v>1.5208333333333333</v>
      </c>
      <c r="AC79" s="54">
        <v>2026</v>
      </c>
      <c r="AD79" s="57">
        <v>350</v>
      </c>
      <c r="AE79" s="57">
        <v>336</v>
      </c>
      <c r="AF79" s="57">
        <v>328</v>
      </c>
      <c r="AG79" s="57">
        <v>313</v>
      </c>
      <c r="AH79" s="57">
        <v>314</v>
      </c>
      <c r="AI79" s="57">
        <f t="shared" si="6"/>
        <v>328.2</v>
      </c>
      <c r="AJ79" s="57">
        <f t="shared" si="7"/>
        <v>15.56277610196844</v>
      </c>
      <c r="AK79" s="58">
        <f t="shared" si="8"/>
        <v>5</v>
      </c>
      <c r="AL79" s="54" t="s">
        <v>341</v>
      </c>
      <c r="AM79" s="54"/>
      <c r="AN79" s="54">
        <v>336</v>
      </c>
      <c r="AO79" s="54">
        <v>333</v>
      </c>
      <c r="AP79" s="54">
        <v>314</v>
      </c>
      <c r="AQ79" s="54">
        <v>323</v>
      </c>
      <c r="AR79" s="54"/>
      <c r="AS79" s="54"/>
      <c r="AT79" s="54">
        <v>361</v>
      </c>
      <c r="AU79" s="54">
        <v>357</v>
      </c>
      <c r="AV79" s="54">
        <v>359.5</v>
      </c>
      <c r="AW79" s="55" t="s">
        <v>1971</v>
      </c>
      <c r="AX79" s="54">
        <v>314</v>
      </c>
      <c r="AY79" s="54">
        <v>359.5</v>
      </c>
      <c r="AZ79" s="57"/>
      <c r="BA79" s="57"/>
      <c r="BB79" s="57"/>
      <c r="BC79" s="57"/>
      <c r="BD79" s="54" t="s">
        <v>157</v>
      </c>
      <c r="BE79" s="54" t="s">
        <v>699</v>
      </c>
      <c r="BF79" s="54" t="s">
        <v>700</v>
      </c>
      <c r="BG79" s="54" t="s">
        <v>701</v>
      </c>
      <c r="BH79" s="54" t="s">
        <v>161</v>
      </c>
      <c r="BI79" s="54" t="s">
        <v>231</v>
      </c>
      <c r="BJ79" s="54" t="s">
        <v>296</v>
      </c>
      <c r="BK79" s="54" t="s">
        <v>164</v>
      </c>
      <c r="BL79" s="54" t="s">
        <v>258</v>
      </c>
      <c r="BM79" s="55" t="s">
        <v>1865</v>
      </c>
      <c r="BN79" s="54" t="s">
        <v>702</v>
      </c>
      <c r="BO79" s="54" t="s">
        <v>167</v>
      </c>
      <c r="BP79" s="58">
        <v>0</v>
      </c>
      <c r="BQ79" s="58">
        <v>0</v>
      </c>
      <c r="BR79" s="54"/>
      <c r="BS79" s="54" t="s">
        <v>168</v>
      </c>
      <c r="BT79" s="54" t="s">
        <v>169</v>
      </c>
      <c r="BU79" s="54" t="s">
        <v>170</v>
      </c>
      <c r="BV79" s="54"/>
    </row>
    <row r="80" spans="1:74" ht="78" customHeight="1">
      <c r="A80" s="41" t="s">
        <v>703</v>
      </c>
      <c r="B80" s="42" t="s">
        <v>248</v>
      </c>
      <c r="C80" s="42" t="s">
        <v>140</v>
      </c>
      <c r="D80" s="42" t="s">
        <v>193</v>
      </c>
      <c r="E80" s="42" t="s">
        <v>172</v>
      </c>
      <c r="F80" s="15">
        <v>64</v>
      </c>
      <c r="G80" s="15">
        <v>64</v>
      </c>
      <c r="H80" s="15">
        <v>64</v>
      </c>
      <c r="I80" s="42" t="s">
        <v>690</v>
      </c>
      <c r="J80" s="42" t="s">
        <v>704</v>
      </c>
      <c r="K80" s="42" t="s">
        <v>145</v>
      </c>
      <c r="L80" s="42" t="s">
        <v>146</v>
      </c>
      <c r="M80" s="42" t="s">
        <v>147</v>
      </c>
      <c r="N80" s="42" t="s">
        <v>148</v>
      </c>
      <c r="O80" s="42" t="s">
        <v>149</v>
      </c>
      <c r="P80" s="42" t="s">
        <v>150</v>
      </c>
      <c r="Q80" s="42" t="s">
        <v>151</v>
      </c>
      <c r="R80" s="42" t="s">
        <v>248</v>
      </c>
      <c r="S80" s="42">
        <v>0</v>
      </c>
      <c r="T80" s="42">
        <v>0</v>
      </c>
      <c r="U80" s="43" t="s">
        <v>2459</v>
      </c>
      <c r="V80" s="42" t="s">
        <v>168</v>
      </c>
      <c r="W80" s="43" t="s">
        <v>1881</v>
      </c>
      <c r="X80" s="43" t="s">
        <v>1918</v>
      </c>
      <c r="Y80" s="42" t="s">
        <v>41</v>
      </c>
      <c r="Z80" s="42" t="s">
        <v>41</v>
      </c>
      <c r="AA80" s="43" t="s">
        <v>1869</v>
      </c>
      <c r="AB80" s="44">
        <v>1.0454545454545454</v>
      </c>
      <c r="AC80" s="42">
        <v>2026</v>
      </c>
      <c r="AD80" s="45">
        <v>350</v>
      </c>
      <c r="AE80" s="45">
        <v>338</v>
      </c>
      <c r="AF80" s="45">
        <v>328</v>
      </c>
      <c r="AG80" s="45">
        <v>313</v>
      </c>
      <c r="AH80" s="45">
        <v>314</v>
      </c>
      <c r="AI80" s="45">
        <f t="shared" si="6"/>
        <v>328.6</v>
      </c>
      <c r="AJ80" s="45">
        <f t="shared" si="7"/>
        <v>15.836666315863322</v>
      </c>
      <c r="AK80" s="46">
        <f t="shared" si="8"/>
        <v>5</v>
      </c>
      <c r="AL80" s="42" t="s">
        <v>341</v>
      </c>
      <c r="AM80" s="42"/>
      <c r="AN80" s="42">
        <v>339</v>
      </c>
      <c r="AO80" s="42">
        <v>328</v>
      </c>
      <c r="AP80" s="42">
        <v>314</v>
      </c>
      <c r="AQ80" s="42">
        <v>315</v>
      </c>
      <c r="AR80" s="42"/>
      <c r="AS80" s="42"/>
      <c r="AT80" s="42"/>
      <c r="AU80" s="42"/>
      <c r="AV80" s="42">
        <v>365.5</v>
      </c>
      <c r="AW80" s="43" t="s">
        <v>1972</v>
      </c>
      <c r="AX80" s="42">
        <v>314</v>
      </c>
      <c r="AY80" s="42">
        <v>365.5</v>
      </c>
      <c r="AZ80" s="45"/>
      <c r="BA80" s="45"/>
      <c r="BB80" s="45"/>
      <c r="BC80" s="45"/>
      <c r="BD80" s="42" t="s">
        <v>157</v>
      </c>
      <c r="BE80" s="42" t="s">
        <v>705</v>
      </c>
      <c r="BF80" s="42" t="s">
        <v>706</v>
      </c>
      <c r="BG80" s="42" t="s">
        <v>707</v>
      </c>
      <c r="BH80" s="42" t="s">
        <v>161</v>
      </c>
      <c r="BI80" s="42" t="s">
        <v>231</v>
      </c>
      <c r="BJ80" s="42" t="s">
        <v>576</v>
      </c>
      <c r="BK80" s="42" t="s">
        <v>164</v>
      </c>
      <c r="BL80" s="42" t="s">
        <v>258</v>
      </c>
      <c r="BM80" s="43" t="s">
        <v>1865</v>
      </c>
      <c r="BN80" s="42" t="s">
        <v>708</v>
      </c>
      <c r="BO80" s="42" t="s">
        <v>167</v>
      </c>
      <c r="BP80" s="46">
        <v>0</v>
      </c>
      <c r="BQ80" s="46">
        <v>0</v>
      </c>
      <c r="BR80" s="42"/>
      <c r="BS80" s="42" t="s">
        <v>168</v>
      </c>
      <c r="BT80" s="42" t="s">
        <v>169</v>
      </c>
      <c r="BU80" s="42" t="s">
        <v>170</v>
      </c>
      <c r="BV80" s="42"/>
    </row>
    <row r="81" spans="1:74" ht="78" customHeight="1">
      <c r="A81" s="53" t="s">
        <v>717</v>
      </c>
      <c r="B81" s="54" t="s">
        <v>248</v>
      </c>
      <c r="C81" s="54" t="s">
        <v>140</v>
      </c>
      <c r="D81" s="54" t="s">
        <v>718</v>
      </c>
      <c r="E81" s="54" t="s">
        <v>172</v>
      </c>
      <c r="F81" s="15">
        <v>63</v>
      </c>
      <c r="G81" s="15">
        <v>63</v>
      </c>
      <c r="H81" s="15">
        <v>63</v>
      </c>
      <c r="I81" s="54" t="s">
        <v>690</v>
      </c>
      <c r="J81" s="54" t="s">
        <v>719</v>
      </c>
      <c r="K81" s="54" t="s">
        <v>145</v>
      </c>
      <c r="L81" s="54" t="s">
        <v>146</v>
      </c>
      <c r="M81" s="54" t="s">
        <v>147</v>
      </c>
      <c r="N81" s="54" t="s">
        <v>148</v>
      </c>
      <c r="O81" s="54" t="s">
        <v>149</v>
      </c>
      <c r="P81" s="54" t="s">
        <v>150</v>
      </c>
      <c r="Q81" s="54" t="s">
        <v>151</v>
      </c>
      <c r="R81" s="54" t="s">
        <v>248</v>
      </c>
      <c r="S81" s="54">
        <v>0</v>
      </c>
      <c r="T81" s="54">
        <v>0</v>
      </c>
      <c r="U81" s="55" t="s">
        <v>2460</v>
      </c>
      <c r="V81" s="54" t="s">
        <v>168</v>
      </c>
      <c r="W81" s="55" t="s">
        <v>1881</v>
      </c>
      <c r="X81" s="55" t="s">
        <v>1922</v>
      </c>
      <c r="Y81" s="54" t="s">
        <v>41</v>
      </c>
      <c r="Z81" s="54" t="s">
        <v>41</v>
      </c>
      <c r="AA81" s="55" t="s">
        <v>1869</v>
      </c>
      <c r="AB81" s="56">
        <v>1</v>
      </c>
      <c r="AC81" s="54">
        <v>2026</v>
      </c>
      <c r="AD81" s="57">
        <v>350</v>
      </c>
      <c r="AE81" s="57">
        <v>336</v>
      </c>
      <c r="AF81" s="57">
        <v>328</v>
      </c>
      <c r="AG81" s="57">
        <v>313</v>
      </c>
      <c r="AH81" s="57">
        <v>314</v>
      </c>
      <c r="AI81" s="57">
        <f t="shared" si="6"/>
        <v>328.2</v>
      </c>
      <c r="AJ81" s="57">
        <f t="shared" si="7"/>
        <v>15.56277610196844</v>
      </c>
      <c r="AK81" s="58">
        <f t="shared" si="8"/>
        <v>5</v>
      </c>
      <c r="AL81" s="54" t="s">
        <v>341</v>
      </c>
      <c r="AM81" s="54"/>
      <c r="AN81" s="54">
        <v>336</v>
      </c>
      <c r="AO81" s="54">
        <v>329</v>
      </c>
      <c r="AP81" s="54">
        <v>313</v>
      </c>
      <c r="AQ81" s="54"/>
      <c r="AR81" s="54">
        <v>267</v>
      </c>
      <c r="AS81" s="54"/>
      <c r="AT81" s="54"/>
      <c r="AU81" s="54"/>
      <c r="AV81" s="54"/>
      <c r="AW81" s="55" t="s">
        <v>1977</v>
      </c>
      <c r="AX81" s="54">
        <v>313</v>
      </c>
      <c r="AY81" s="54">
        <v>267</v>
      </c>
      <c r="AZ81" s="57"/>
      <c r="BA81" s="57"/>
      <c r="BB81" s="57"/>
      <c r="BC81" s="57"/>
      <c r="BD81" s="54" t="s">
        <v>157</v>
      </c>
      <c r="BE81" s="54" t="s">
        <v>720</v>
      </c>
      <c r="BF81" s="54" t="s">
        <v>721</v>
      </c>
      <c r="BG81" s="54" t="s">
        <v>722</v>
      </c>
      <c r="BH81" s="54" t="s">
        <v>161</v>
      </c>
      <c r="BI81" s="54" t="s">
        <v>231</v>
      </c>
      <c r="BJ81" s="54" t="s">
        <v>723</v>
      </c>
      <c r="BK81" s="54" t="s">
        <v>164</v>
      </c>
      <c r="BL81" s="54" t="s">
        <v>258</v>
      </c>
      <c r="BM81" s="55" t="s">
        <v>1865</v>
      </c>
      <c r="BN81" s="54" t="s">
        <v>724</v>
      </c>
      <c r="BO81" s="54" t="s">
        <v>167</v>
      </c>
      <c r="BP81" s="58">
        <v>0</v>
      </c>
      <c r="BQ81" s="58">
        <v>0</v>
      </c>
      <c r="BR81" s="54"/>
      <c r="BS81" s="54" t="s">
        <v>168</v>
      </c>
      <c r="BT81" s="54" t="s">
        <v>169</v>
      </c>
      <c r="BU81" s="54" t="s">
        <v>170</v>
      </c>
      <c r="BV81" s="54"/>
    </row>
    <row r="82" spans="1:74" ht="78" customHeight="1">
      <c r="A82" s="59" t="s">
        <v>729</v>
      </c>
      <c r="B82" s="60" t="s">
        <v>248</v>
      </c>
      <c r="C82" s="60" t="s">
        <v>140</v>
      </c>
      <c r="D82" s="60" t="s">
        <v>730</v>
      </c>
      <c r="E82" s="60" t="s">
        <v>172</v>
      </c>
      <c r="F82" s="15">
        <v>60</v>
      </c>
      <c r="G82" s="15">
        <v>60</v>
      </c>
      <c r="H82" s="15">
        <v>60</v>
      </c>
      <c r="I82" s="60" t="s">
        <v>690</v>
      </c>
      <c r="J82" s="60" t="s">
        <v>698</v>
      </c>
      <c r="K82" s="60" t="s">
        <v>145</v>
      </c>
      <c r="L82" s="60" t="s">
        <v>146</v>
      </c>
      <c r="M82" s="60" t="s">
        <v>147</v>
      </c>
      <c r="N82" s="60" t="s">
        <v>148</v>
      </c>
      <c r="O82" s="60" t="s">
        <v>149</v>
      </c>
      <c r="P82" s="60" t="s">
        <v>150</v>
      </c>
      <c r="Q82" s="60" t="s">
        <v>151</v>
      </c>
      <c r="R82" s="60" t="s">
        <v>248</v>
      </c>
      <c r="S82" s="60">
        <v>0</v>
      </c>
      <c r="T82" s="60">
        <v>0</v>
      </c>
      <c r="U82" s="61" t="s">
        <v>2461</v>
      </c>
      <c r="V82" s="60" t="s">
        <v>168</v>
      </c>
      <c r="W82" s="61" t="s">
        <v>1881</v>
      </c>
      <c r="X82" s="61" t="s">
        <v>1965</v>
      </c>
      <c r="Y82" s="60" t="s">
        <v>41</v>
      </c>
      <c r="Z82" s="60" t="s">
        <v>41</v>
      </c>
      <c r="AA82" s="61" t="s">
        <v>1869</v>
      </c>
      <c r="AB82" s="62">
        <v>1</v>
      </c>
      <c r="AC82" s="60">
        <v>2026</v>
      </c>
      <c r="AD82" s="63"/>
      <c r="AE82" s="63"/>
      <c r="AF82" s="63"/>
      <c r="AG82" s="63">
        <v>313</v>
      </c>
      <c r="AH82" s="63">
        <v>314</v>
      </c>
      <c r="AI82" s="63">
        <f t="shared" si="6"/>
        <v>313.5</v>
      </c>
      <c r="AJ82" s="63">
        <f t="shared" si="7"/>
        <v>0.70710678118654757</v>
      </c>
      <c r="AK82" s="64">
        <f t="shared" si="8"/>
        <v>2</v>
      </c>
      <c r="AL82" s="60" t="s">
        <v>445</v>
      </c>
      <c r="AM82" s="60"/>
      <c r="AN82" s="60"/>
      <c r="AO82" s="60"/>
      <c r="AP82" s="60">
        <v>319</v>
      </c>
      <c r="AQ82" s="60">
        <v>314</v>
      </c>
      <c r="AR82" s="60"/>
      <c r="AS82" s="60"/>
      <c r="AT82" s="60"/>
      <c r="AU82" s="60">
        <v>336</v>
      </c>
      <c r="AV82" s="60">
        <v>325.5</v>
      </c>
      <c r="AW82" s="61" t="s">
        <v>1975</v>
      </c>
      <c r="AX82" s="60">
        <v>314</v>
      </c>
      <c r="AY82" s="60">
        <v>330.75</v>
      </c>
      <c r="AZ82" s="63"/>
      <c r="BA82" s="63"/>
      <c r="BB82" s="63"/>
      <c r="BC82" s="63"/>
      <c r="BD82" s="60" t="s">
        <v>157</v>
      </c>
      <c r="BE82" s="60" t="s">
        <v>731</v>
      </c>
      <c r="BF82" s="60" t="s">
        <v>732</v>
      </c>
      <c r="BG82" s="60" t="s">
        <v>733</v>
      </c>
      <c r="BH82" s="60" t="s">
        <v>161</v>
      </c>
      <c r="BI82" s="60" t="s">
        <v>361</v>
      </c>
      <c r="BJ82" s="60" t="s">
        <v>361</v>
      </c>
      <c r="BK82" s="60" t="s">
        <v>362</v>
      </c>
      <c r="BL82" s="60" t="s">
        <v>258</v>
      </c>
      <c r="BM82" s="61" t="s">
        <v>1865</v>
      </c>
      <c r="BN82" s="60" t="s">
        <v>363</v>
      </c>
      <c r="BO82" s="60" t="s">
        <v>167</v>
      </c>
      <c r="BP82" s="64">
        <v>0</v>
      </c>
      <c r="BQ82" s="64">
        <v>0</v>
      </c>
      <c r="BR82" s="60"/>
      <c r="BS82" s="60" t="s">
        <v>168</v>
      </c>
      <c r="BT82" s="60" t="s">
        <v>169</v>
      </c>
      <c r="BU82" s="60" t="s">
        <v>170</v>
      </c>
      <c r="BV82" s="60"/>
    </row>
    <row r="83" spans="1:74" ht="78" customHeight="1">
      <c r="A83" s="41" t="s">
        <v>734</v>
      </c>
      <c r="B83" s="42" t="s">
        <v>248</v>
      </c>
      <c r="C83" s="42" t="s">
        <v>140</v>
      </c>
      <c r="D83" s="42" t="s">
        <v>735</v>
      </c>
      <c r="E83" s="42" t="s">
        <v>172</v>
      </c>
      <c r="F83" s="15">
        <v>58</v>
      </c>
      <c r="G83" s="15">
        <v>58</v>
      </c>
      <c r="H83" s="15">
        <v>58</v>
      </c>
      <c r="I83" s="42" t="s">
        <v>690</v>
      </c>
      <c r="J83" s="42" t="s">
        <v>698</v>
      </c>
      <c r="K83" s="42" t="s">
        <v>145</v>
      </c>
      <c r="L83" s="42" t="s">
        <v>146</v>
      </c>
      <c r="M83" s="42" t="s">
        <v>147</v>
      </c>
      <c r="N83" s="42" t="s">
        <v>148</v>
      </c>
      <c r="O83" s="42" t="s">
        <v>149</v>
      </c>
      <c r="P83" s="42" t="s">
        <v>150</v>
      </c>
      <c r="Q83" s="42" t="s">
        <v>151</v>
      </c>
      <c r="R83" s="42" t="s">
        <v>248</v>
      </c>
      <c r="S83" s="42">
        <v>0</v>
      </c>
      <c r="T83" s="42">
        <v>0</v>
      </c>
      <c r="U83" s="43" t="s">
        <v>2462</v>
      </c>
      <c r="V83" s="42" t="s">
        <v>168</v>
      </c>
      <c r="W83" s="43" t="s">
        <v>1888</v>
      </c>
      <c r="X83" s="43" t="s">
        <v>1908</v>
      </c>
      <c r="Y83" s="42" t="s">
        <v>41</v>
      </c>
      <c r="Z83" s="42" t="s">
        <v>41</v>
      </c>
      <c r="AA83" s="43" t="s">
        <v>1869</v>
      </c>
      <c r="AB83" s="44">
        <v>1</v>
      </c>
      <c r="AC83" s="42">
        <v>2026</v>
      </c>
      <c r="AD83" s="45">
        <v>350</v>
      </c>
      <c r="AE83" s="45"/>
      <c r="AF83" s="45">
        <v>328</v>
      </c>
      <c r="AG83" s="45">
        <v>313</v>
      </c>
      <c r="AH83" s="45">
        <v>314</v>
      </c>
      <c r="AI83" s="45">
        <f t="shared" si="6"/>
        <v>326.25</v>
      </c>
      <c r="AJ83" s="45">
        <f t="shared" si="7"/>
        <v>17.250603854165028</v>
      </c>
      <c r="AK83" s="46">
        <f t="shared" si="8"/>
        <v>4</v>
      </c>
      <c r="AL83" s="42" t="s">
        <v>341</v>
      </c>
      <c r="AM83" s="42"/>
      <c r="AN83" s="42"/>
      <c r="AO83" s="42"/>
      <c r="AP83" s="42">
        <v>347</v>
      </c>
      <c r="AQ83" s="42">
        <v>355</v>
      </c>
      <c r="AR83" s="42"/>
      <c r="AS83" s="42"/>
      <c r="AT83" s="42"/>
      <c r="AU83" s="42"/>
      <c r="AV83" s="42">
        <v>358.5</v>
      </c>
      <c r="AW83" s="43" t="s">
        <v>1972</v>
      </c>
      <c r="AX83" s="42">
        <v>347</v>
      </c>
      <c r="AY83" s="42">
        <v>358.5</v>
      </c>
      <c r="AZ83" s="45"/>
      <c r="BA83" s="45"/>
      <c r="BB83" s="45"/>
      <c r="BC83" s="45"/>
      <c r="BD83" s="42" t="s">
        <v>157</v>
      </c>
      <c r="BE83" s="42" t="s">
        <v>736</v>
      </c>
      <c r="BF83" s="42" t="s">
        <v>737</v>
      </c>
      <c r="BG83" s="42" t="s">
        <v>738</v>
      </c>
      <c r="BH83" s="42" t="s">
        <v>161</v>
      </c>
      <c r="BI83" s="42" t="s">
        <v>231</v>
      </c>
      <c r="BJ83" s="42" t="s">
        <v>660</v>
      </c>
      <c r="BK83" s="42" t="s">
        <v>164</v>
      </c>
      <c r="BL83" s="42" t="s">
        <v>258</v>
      </c>
      <c r="BM83" s="43" t="s">
        <v>1865</v>
      </c>
      <c r="BN83" s="42" t="s">
        <v>363</v>
      </c>
      <c r="BO83" s="42" t="s">
        <v>167</v>
      </c>
      <c r="BP83" s="46">
        <v>0</v>
      </c>
      <c r="BQ83" s="46">
        <v>0</v>
      </c>
      <c r="BR83" s="42"/>
      <c r="BS83" s="42" t="s">
        <v>168</v>
      </c>
      <c r="BT83" s="42" t="s">
        <v>169</v>
      </c>
      <c r="BU83" s="42" t="s">
        <v>170</v>
      </c>
      <c r="BV83" s="42"/>
    </row>
  </sheetData>
  <mergeCells count="9">
    <mergeCell ref="AM1:BD1"/>
    <mergeCell ref="BE1:BH1"/>
    <mergeCell ref="BI1:BM1"/>
    <mergeCell ref="BN1:BV1"/>
    <mergeCell ref="A1:E1"/>
    <mergeCell ref="F1:J1"/>
    <mergeCell ref="K1:W1"/>
    <mergeCell ref="X1:AC1"/>
    <mergeCell ref="AD1:AL1"/>
  </mergeCells>
  <phoneticPr fontId="9" type="noConversion"/>
  <conditionalFormatting sqref="F3:H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83">
    <cfRule type="containsText" dxfId="17" priority="2" operator="containsText" text="是"/>
  </conditionalFormatting>
  <conditionalFormatting sqref="Y3:AA83">
    <cfRule type="containsText" dxfId="16" priority="3" operator="containsText" text="待"/>
  </conditionalFormatting>
  <conditionalFormatting sqref="BD3:BD83">
    <cfRule type="containsText" dxfId="15" priority="4" operator="containsText" text="无法"/>
  </conditionalFormatting>
  <conditionalFormatting sqref="BL3:BL83">
    <cfRule type="containsText" dxfId="14" priority="5" operator="containsText" text="低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09"/>
  <sheetViews>
    <sheetView showGridLines="0" workbookViewId="0">
      <selection activeCell="S3" sqref="S1:S1048576"/>
    </sheetView>
  </sheetViews>
  <sheetFormatPr defaultRowHeight="13.5"/>
  <cols>
    <col min="1" max="1" width="18" customWidth="1"/>
    <col min="2" max="2" width="9" customWidth="1"/>
    <col min="3" max="3" width="11" customWidth="1"/>
    <col min="4" max="4" width="34" customWidth="1"/>
    <col min="5" max="5" width="22" customWidth="1"/>
    <col min="6" max="6" width="46" customWidth="1"/>
    <col min="7" max="7" width="50" hidden="1" customWidth="1"/>
    <col min="8" max="11" width="12" customWidth="1"/>
    <col min="12" max="13" width="11" customWidth="1"/>
    <col min="14" max="17" width="12" hidden="1" customWidth="1"/>
    <col min="18" max="18" width="34" hidden="1" customWidth="1"/>
    <col min="19" max="19" width="56" hidden="1" customWidth="1"/>
  </cols>
  <sheetData>
    <row r="1" spans="1:19">
      <c r="A1" s="21" t="s">
        <v>739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4" spans="1:19" ht="44" customHeight="1">
      <c r="A4" s="12" t="s">
        <v>67</v>
      </c>
      <c r="B4" s="12" t="s">
        <v>740</v>
      </c>
      <c r="C4" s="12" t="s">
        <v>741</v>
      </c>
      <c r="D4" s="12" t="s">
        <v>742</v>
      </c>
      <c r="E4" s="12" t="s">
        <v>743</v>
      </c>
      <c r="F4" s="12" t="s">
        <v>744</v>
      </c>
      <c r="G4" s="12" t="s">
        <v>745</v>
      </c>
      <c r="H4" s="12" t="s">
        <v>746</v>
      </c>
      <c r="I4" s="12" t="s">
        <v>747</v>
      </c>
      <c r="J4" s="12" t="s">
        <v>748</v>
      </c>
      <c r="K4" s="12" t="s">
        <v>749</v>
      </c>
      <c r="L4" s="12" t="s">
        <v>750</v>
      </c>
      <c r="M4" s="12" t="s">
        <v>751</v>
      </c>
      <c r="N4" s="12" t="s">
        <v>118</v>
      </c>
      <c r="O4" s="12" t="s">
        <v>119</v>
      </c>
      <c r="P4" s="12" t="s">
        <v>120</v>
      </c>
      <c r="Q4" s="12" t="s">
        <v>752</v>
      </c>
      <c r="R4" s="12" t="s">
        <v>122</v>
      </c>
      <c r="S4" s="12" t="s">
        <v>753</v>
      </c>
    </row>
    <row r="5" spans="1:19" ht="52.05" customHeight="1">
      <c r="A5" s="14" t="s">
        <v>34</v>
      </c>
      <c r="B5" s="13">
        <v>2022</v>
      </c>
      <c r="C5" s="15">
        <v>420</v>
      </c>
      <c r="D5" s="13" t="s">
        <v>754</v>
      </c>
      <c r="E5" s="13" t="s">
        <v>755</v>
      </c>
      <c r="F5" s="13" t="s">
        <v>756</v>
      </c>
      <c r="G5" s="13" t="s">
        <v>757</v>
      </c>
      <c r="H5" s="13">
        <v>9</v>
      </c>
      <c r="I5" s="16">
        <v>433</v>
      </c>
      <c r="J5" s="16">
        <v>439</v>
      </c>
      <c r="K5" s="16">
        <v>451</v>
      </c>
      <c r="L5" s="16">
        <v>17</v>
      </c>
      <c r="M5" s="16">
        <v>2.125</v>
      </c>
      <c r="N5" s="13"/>
      <c r="O5" s="13"/>
      <c r="P5" s="13"/>
      <c r="Q5" s="13"/>
      <c r="R5" s="13" t="s">
        <v>758</v>
      </c>
      <c r="S5" s="18" t="s">
        <v>2008</v>
      </c>
    </row>
    <row r="6" spans="1:19" ht="52.05" customHeight="1">
      <c r="A6" s="14" t="s">
        <v>34</v>
      </c>
      <c r="B6" s="13">
        <v>2023</v>
      </c>
      <c r="C6" s="15">
        <v>405</v>
      </c>
      <c r="D6" s="13" t="s">
        <v>759</v>
      </c>
      <c r="E6" s="13" t="s">
        <v>35</v>
      </c>
      <c r="F6" s="13" t="s">
        <v>760</v>
      </c>
      <c r="G6" s="13" t="s">
        <v>761</v>
      </c>
      <c r="H6" s="13">
        <v>4</v>
      </c>
      <c r="I6" s="16">
        <v>406</v>
      </c>
      <c r="J6" s="16">
        <v>421</v>
      </c>
      <c r="K6" s="16">
        <v>436</v>
      </c>
      <c r="L6" s="16">
        <v>12</v>
      </c>
      <c r="M6" s="16">
        <v>1.5</v>
      </c>
      <c r="N6" s="13"/>
      <c r="O6" s="13"/>
      <c r="P6" s="13"/>
      <c r="Q6" s="13"/>
      <c r="R6" s="13" t="s">
        <v>758</v>
      </c>
      <c r="S6" s="18" t="s">
        <v>2009</v>
      </c>
    </row>
    <row r="7" spans="1:19" ht="52.05" customHeight="1">
      <c r="A7" s="14" t="s">
        <v>34</v>
      </c>
      <c r="B7" s="13">
        <v>2024</v>
      </c>
      <c r="C7" s="15">
        <v>420</v>
      </c>
      <c r="D7" s="13" t="s">
        <v>762</v>
      </c>
      <c r="E7" s="13" t="s">
        <v>763</v>
      </c>
      <c r="F7" s="13" t="s">
        <v>764</v>
      </c>
      <c r="G7" s="13" t="s">
        <v>765</v>
      </c>
      <c r="H7" s="13">
        <v>7</v>
      </c>
      <c r="I7" s="16">
        <v>421</v>
      </c>
      <c r="J7" s="16">
        <v>425</v>
      </c>
      <c r="K7" s="16">
        <v>438</v>
      </c>
      <c r="L7" s="16">
        <v>13</v>
      </c>
      <c r="M7" s="16">
        <v>1.8571428571428572</v>
      </c>
      <c r="N7" s="13"/>
      <c r="O7" s="13"/>
      <c r="P7" s="13"/>
      <c r="Q7" s="13"/>
      <c r="R7" s="13" t="s">
        <v>758</v>
      </c>
      <c r="S7" s="18" t="s">
        <v>2010</v>
      </c>
    </row>
    <row r="8" spans="1:19" ht="52.05" customHeight="1">
      <c r="A8" s="14" t="s">
        <v>34</v>
      </c>
      <c r="B8" s="13">
        <v>2025</v>
      </c>
      <c r="C8" s="15">
        <v>380</v>
      </c>
      <c r="D8" s="13" t="s">
        <v>766</v>
      </c>
      <c r="E8" s="13" t="s">
        <v>763</v>
      </c>
      <c r="F8" s="13" t="s">
        <v>767</v>
      </c>
      <c r="G8" s="13" t="s">
        <v>768</v>
      </c>
      <c r="H8" s="13">
        <v>7</v>
      </c>
      <c r="I8" s="16">
        <v>381</v>
      </c>
      <c r="J8" s="16">
        <v>401</v>
      </c>
      <c r="K8" s="16">
        <v>433</v>
      </c>
      <c r="L8" s="16">
        <v>16</v>
      </c>
      <c r="M8" s="16">
        <v>1.6</v>
      </c>
      <c r="N8" s="13"/>
      <c r="O8" s="13"/>
      <c r="P8" s="13"/>
      <c r="Q8" s="13"/>
      <c r="R8" s="13" t="s">
        <v>758</v>
      </c>
      <c r="S8" s="18" t="s">
        <v>2011</v>
      </c>
    </row>
    <row r="9" spans="1:19" ht="52.05" customHeight="1">
      <c r="A9" s="14" t="s">
        <v>34</v>
      </c>
      <c r="B9" s="13">
        <v>2026</v>
      </c>
      <c r="C9" s="15">
        <v>375</v>
      </c>
      <c r="D9" s="13" t="s">
        <v>769</v>
      </c>
      <c r="E9" s="13" t="s">
        <v>770</v>
      </c>
      <c r="F9" s="13" t="s">
        <v>771</v>
      </c>
      <c r="G9" s="13" t="s">
        <v>772</v>
      </c>
      <c r="H9" s="13">
        <v>4</v>
      </c>
      <c r="I9" s="16">
        <v>400</v>
      </c>
      <c r="J9" s="16">
        <v>423.5</v>
      </c>
      <c r="K9" s="16">
        <v>426</v>
      </c>
      <c r="L9" s="16">
        <v>7</v>
      </c>
      <c r="M9" s="16">
        <v>1.75</v>
      </c>
      <c r="N9" s="13"/>
      <c r="O9" s="13"/>
      <c r="P9" s="13"/>
      <c r="Q9" s="13"/>
      <c r="R9" s="13" t="s">
        <v>758</v>
      </c>
      <c r="S9" s="18" t="s">
        <v>2012</v>
      </c>
    </row>
    <row r="10" spans="1:19" ht="52.05" customHeight="1">
      <c r="A10" s="14" t="s">
        <v>37</v>
      </c>
      <c r="B10" s="13">
        <v>2022</v>
      </c>
      <c r="C10" s="15">
        <v>410</v>
      </c>
      <c r="D10" s="13" t="s">
        <v>773</v>
      </c>
      <c r="E10" s="13" t="s">
        <v>755</v>
      </c>
      <c r="F10" s="13" t="s">
        <v>756</v>
      </c>
      <c r="G10" s="13" t="s">
        <v>757</v>
      </c>
      <c r="H10" s="13">
        <v>66</v>
      </c>
      <c r="I10" s="16"/>
      <c r="J10" s="16"/>
      <c r="K10" s="16"/>
      <c r="L10" s="16">
        <v>78</v>
      </c>
      <c r="M10" s="16">
        <v>1.1818181818181821</v>
      </c>
      <c r="N10" s="13"/>
      <c r="O10" s="13"/>
      <c r="P10" s="13"/>
      <c r="Q10" s="13"/>
      <c r="R10" s="13" t="s">
        <v>774</v>
      </c>
      <c r="S10" s="18" t="s">
        <v>2001</v>
      </c>
    </row>
    <row r="11" spans="1:19" ht="52.05" customHeight="1">
      <c r="A11" s="14" t="s">
        <v>37</v>
      </c>
      <c r="B11" s="13">
        <v>2023</v>
      </c>
      <c r="C11" s="15">
        <v>395</v>
      </c>
      <c r="D11" s="13" t="s">
        <v>775</v>
      </c>
      <c r="E11" s="13" t="s">
        <v>35</v>
      </c>
      <c r="F11" s="13" t="s">
        <v>776</v>
      </c>
      <c r="G11" s="13" t="s">
        <v>761</v>
      </c>
      <c r="H11" s="13">
        <v>84</v>
      </c>
      <c r="I11" s="16">
        <v>395</v>
      </c>
      <c r="J11" s="16"/>
      <c r="K11" s="16"/>
      <c r="L11" s="16">
        <v>109</v>
      </c>
      <c r="M11" s="16">
        <v>1.2976190476190477</v>
      </c>
      <c r="N11" s="13"/>
      <c r="O11" s="13"/>
      <c r="P11" s="13"/>
      <c r="Q11" s="13"/>
      <c r="R11" s="13" t="s">
        <v>774</v>
      </c>
      <c r="S11" s="18" t="s">
        <v>2001</v>
      </c>
    </row>
    <row r="12" spans="1:19" ht="52.05" customHeight="1">
      <c r="A12" s="14" t="s">
        <v>37</v>
      </c>
      <c r="B12" s="13">
        <v>2024</v>
      </c>
      <c r="C12" s="15">
        <v>395</v>
      </c>
      <c r="D12" s="13" t="s">
        <v>777</v>
      </c>
      <c r="E12" s="13" t="s">
        <v>763</v>
      </c>
      <c r="F12" s="13" t="s">
        <v>778</v>
      </c>
      <c r="G12" s="13" t="s">
        <v>779</v>
      </c>
      <c r="H12" s="13">
        <v>110</v>
      </c>
      <c r="I12" s="16">
        <v>396</v>
      </c>
      <c r="J12" s="16"/>
      <c r="K12" s="16"/>
      <c r="L12" s="16">
        <v>121</v>
      </c>
      <c r="M12" s="16">
        <v>1.1000000000000001</v>
      </c>
      <c r="N12" s="13"/>
      <c r="O12" s="13"/>
      <c r="P12" s="13"/>
      <c r="Q12" s="13"/>
      <c r="R12" s="13" t="s">
        <v>774</v>
      </c>
      <c r="S12" s="18" t="s">
        <v>2001</v>
      </c>
    </row>
    <row r="13" spans="1:19" ht="52.05" customHeight="1">
      <c r="A13" s="14" t="s">
        <v>37</v>
      </c>
      <c r="B13" s="13">
        <v>2025</v>
      </c>
      <c r="C13" s="15">
        <v>345</v>
      </c>
      <c r="D13" s="13" t="s">
        <v>780</v>
      </c>
      <c r="E13" s="13" t="s">
        <v>763</v>
      </c>
      <c r="F13" s="13" t="s">
        <v>781</v>
      </c>
      <c r="G13" s="13" t="s">
        <v>782</v>
      </c>
      <c r="H13" s="13">
        <v>144</v>
      </c>
      <c r="I13" s="16">
        <v>345</v>
      </c>
      <c r="J13" s="16"/>
      <c r="K13" s="16"/>
      <c r="L13" s="16">
        <v>149</v>
      </c>
      <c r="M13" s="16">
        <v>1.0347222222222223</v>
      </c>
      <c r="N13" s="13"/>
      <c r="O13" s="13"/>
      <c r="P13" s="13"/>
      <c r="Q13" s="13"/>
      <c r="R13" s="13" t="s">
        <v>774</v>
      </c>
      <c r="S13" s="18" t="s">
        <v>2001</v>
      </c>
    </row>
    <row r="14" spans="1:19" ht="52.05" customHeight="1">
      <c r="A14" s="14" t="s">
        <v>37</v>
      </c>
      <c r="B14" s="13">
        <v>2026</v>
      </c>
      <c r="C14" s="15">
        <v>380</v>
      </c>
      <c r="D14" s="13" t="s">
        <v>783</v>
      </c>
      <c r="E14" s="13" t="s">
        <v>784</v>
      </c>
      <c r="F14" s="13" t="s">
        <v>785</v>
      </c>
      <c r="G14" s="13" t="s">
        <v>786</v>
      </c>
      <c r="H14" s="13">
        <v>148</v>
      </c>
      <c r="I14" s="16">
        <v>380</v>
      </c>
      <c r="J14" s="16">
        <v>412</v>
      </c>
      <c r="K14" s="16">
        <v>451</v>
      </c>
      <c r="L14" s="16">
        <v>158</v>
      </c>
      <c r="M14" s="16">
        <v>1.0675675675675675</v>
      </c>
      <c r="N14" s="13"/>
      <c r="O14" s="13"/>
      <c r="P14" s="13"/>
      <c r="Q14" s="13"/>
      <c r="R14" s="13" t="s">
        <v>787</v>
      </c>
      <c r="S14" s="18" t="s">
        <v>2002</v>
      </c>
    </row>
    <row r="15" spans="1:19" ht="52.05" customHeight="1">
      <c r="A15" s="14" t="s">
        <v>38</v>
      </c>
      <c r="B15" s="13">
        <v>2022</v>
      </c>
      <c r="C15" s="15">
        <v>400</v>
      </c>
      <c r="D15" s="13" t="s">
        <v>788</v>
      </c>
      <c r="E15" s="13" t="s">
        <v>755</v>
      </c>
      <c r="F15" s="13" t="s">
        <v>756</v>
      </c>
      <c r="G15" s="13" t="s">
        <v>757</v>
      </c>
      <c r="H15" s="13">
        <v>44</v>
      </c>
      <c r="I15" s="16"/>
      <c r="J15" s="16">
        <v>414.5</v>
      </c>
      <c r="K15" s="16">
        <v>437</v>
      </c>
      <c r="L15" s="16">
        <v>55</v>
      </c>
      <c r="M15" s="16">
        <v>1.25</v>
      </c>
      <c r="N15" s="13"/>
      <c r="O15" s="13"/>
      <c r="P15" s="13"/>
      <c r="Q15" s="13"/>
      <c r="R15" s="13" t="s">
        <v>774</v>
      </c>
      <c r="S15" s="18" t="s">
        <v>1988</v>
      </c>
    </row>
    <row r="16" spans="1:19" ht="52.05" customHeight="1">
      <c r="A16" s="14" t="s">
        <v>38</v>
      </c>
      <c r="B16" s="13">
        <v>2023</v>
      </c>
      <c r="C16" s="15">
        <v>365</v>
      </c>
      <c r="D16" s="13" t="s">
        <v>789</v>
      </c>
      <c r="E16" s="13" t="s">
        <v>35</v>
      </c>
      <c r="F16" s="13" t="s">
        <v>790</v>
      </c>
      <c r="G16" s="13" t="s">
        <v>761</v>
      </c>
      <c r="H16" s="13">
        <v>49</v>
      </c>
      <c r="I16" s="16">
        <v>365</v>
      </c>
      <c r="J16" s="16"/>
      <c r="K16" s="16"/>
      <c r="L16" s="16">
        <v>58</v>
      </c>
      <c r="M16" s="16">
        <v>1.1836734693877551</v>
      </c>
      <c r="N16" s="13"/>
      <c r="O16" s="13"/>
      <c r="P16" s="13"/>
      <c r="Q16" s="13"/>
      <c r="R16" s="13" t="s">
        <v>774</v>
      </c>
      <c r="S16" s="18" t="s">
        <v>1989</v>
      </c>
    </row>
    <row r="17" spans="1:19" ht="52.05" customHeight="1">
      <c r="A17" s="14" t="s">
        <v>38</v>
      </c>
      <c r="B17" s="13">
        <v>2024</v>
      </c>
      <c r="C17" s="15">
        <v>380</v>
      </c>
      <c r="D17" s="13" t="s">
        <v>766</v>
      </c>
      <c r="E17" s="13" t="s">
        <v>763</v>
      </c>
      <c r="F17" s="13" t="s">
        <v>791</v>
      </c>
      <c r="G17" s="13" t="s">
        <v>792</v>
      </c>
      <c r="H17" s="13">
        <v>52</v>
      </c>
      <c r="I17" s="16">
        <v>384</v>
      </c>
      <c r="J17" s="16">
        <v>406.5</v>
      </c>
      <c r="K17" s="16">
        <v>434</v>
      </c>
      <c r="L17" s="16">
        <v>64</v>
      </c>
      <c r="M17" s="16">
        <v>1.2307692307692308</v>
      </c>
      <c r="N17" s="13"/>
      <c r="O17" s="13"/>
      <c r="P17" s="13"/>
      <c r="Q17" s="13"/>
      <c r="R17" s="13" t="s">
        <v>774</v>
      </c>
      <c r="S17" s="18" t="s">
        <v>1990</v>
      </c>
    </row>
    <row r="18" spans="1:19" ht="52.05" customHeight="1">
      <c r="A18" s="14" t="s">
        <v>38</v>
      </c>
      <c r="B18" s="13">
        <v>2025</v>
      </c>
      <c r="C18" s="15">
        <v>375</v>
      </c>
      <c r="D18" s="13" t="s">
        <v>793</v>
      </c>
      <c r="E18" s="13" t="s">
        <v>763</v>
      </c>
      <c r="F18" s="13" t="s">
        <v>794</v>
      </c>
      <c r="G18" s="13" t="s">
        <v>795</v>
      </c>
      <c r="H18" s="13">
        <v>61</v>
      </c>
      <c r="I18" s="16">
        <v>375</v>
      </c>
      <c r="J18" s="16">
        <v>399</v>
      </c>
      <c r="K18" s="16">
        <v>436</v>
      </c>
      <c r="L18" s="16">
        <v>74</v>
      </c>
      <c r="M18" s="16">
        <v>1.2131147540983609</v>
      </c>
      <c r="N18" s="13"/>
      <c r="O18" s="13"/>
      <c r="P18" s="13"/>
      <c r="Q18" s="13"/>
      <c r="R18" s="13" t="s">
        <v>774</v>
      </c>
      <c r="S18" s="18" t="s">
        <v>1991</v>
      </c>
    </row>
    <row r="19" spans="1:19" ht="52.05" customHeight="1">
      <c r="A19" s="14" t="s">
        <v>38</v>
      </c>
      <c r="B19" s="13">
        <v>2026</v>
      </c>
      <c r="C19" s="15">
        <v>390</v>
      </c>
      <c r="D19" s="13" t="s">
        <v>796</v>
      </c>
      <c r="E19" s="13" t="s">
        <v>35</v>
      </c>
      <c r="F19" s="13" t="s">
        <v>797</v>
      </c>
      <c r="G19" s="13" t="s">
        <v>798</v>
      </c>
      <c r="H19" s="13">
        <v>52</v>
      </c>
      <c r="I19" s="16">
        <v>390</v>
      </c>
      <c r="J19" s="16">
        <v>416</v>
      </c>
      <c r="K19" s="16">
        <v>435</v>
      </c>
      <c r="L19" s="16">
        <v>64</v>
      </c>
      <c r="M19" s="16">
        <v>1.2307692307692308</v>
      </c>
      <c r="N19" s="13"/>
      <c r="O19" s="13"/>
      <c r="P19" s="13"/>
      <c r="Q19" s="13"/>
      <c r="R19" s="13" t="s">
        <v>774</v>
      </c>
      <c r="S19" s="18" t="s">
        <v>1992</v>
      </c>
    </row>
    <row r="20" spans="1:19" ht="52.05" customHeight="1">
      <c r="A20" s="14" t="s">
        <v>48</v>
      </c>
      <c r="B20" s="13">
        <v>2022</v>
      </c>
      <c r="C20" s="15">
        <v>375</v>
      </c>
      <c r="D20" s="13" t="s">
        <v>799</v>
      </c>
      <c r="E20" s="13" t="s">
        <v>755</v>
      </c>
      <c r="F20" s="13" t="s">
        <v>756</v>
      </c>
      <c r="G20" s="13" t="s">
        <v>757</v>
      </c>
      <c r="H20" s="13">
        <v>8</v>
      </c>
      <c r="I20" s="16"/>
      <c r="J20" s="16"/>
      <c r="K20" s="16"/>
      <c r="L20" s="16">
        <v>10</v>
      </c>
      <c r="M20" s="16">
        <v>1.25</v>
      </c>
      <c r="N20" s="13"/>
      <c r="O20" s="13"/>
      <c r="P20" s="13"/>
      <c r="Q20" s="13"/>
      <c r="R20" s="13" t="s">
        <v>774</v>
      </c>
      <c r="S20" s="18" t="s">
        <v>1980</v>
      </c>
    </row>
    <row r="21" spans="1:19" ht="52.05" customHeight="1">
      <c r="A21" s="14" t="s">
        <v>48</v>
      </c>
      <c r="B21" s="13">
        <v>2023</v>
      </c>
      <c r="C21" s="15">
        <v>370</v>
      </c>
      <c r="D21" s="13" t="s">
        <v>800</v>
      </c>
      <c r="E21" s="13" t="s">
        <v>770</v>
      </c>
      <c r="F21" s="13" t="s">
        <v>801</v>
      </c>
      <c r="G21" s="13" t="s">
        <v>802</v>
      </c>
      <c r="H21" s="13">
        <v>5</v>
      </c>
      <c r="I21" s="16">
        <v>370</v>
      </c>
      <c r="J21" s="16">
        <v>384</v>
      </c>
      <c r="K21" s="16">
        <v>400</v>
      </c>
      <c r="L21" s="16">
        <v>5</v>
      </c>
      <c r="M21" s="16">
        <v>1</v>
      </c>
      <c r="N21" s="13"/>
      <c r="O21" s="13"/>
      <c r="P21" s="13"/>
      <c r="Q21" s="13"/>
      <c r="R21" s="13" t="s">
        <v>774</v>
      </c>
      <c r="S21" s="18" t="s">
        <v>1981</v>
      </c>
    </row>
    <row r="22" spans="1:19" ht="52.05" customHeight="1">
      <c r="A22" s="14" t="s">
        <v>48</v>
      </c>
      <c r="B22" s="13">
        <v>2024</v>
      </c>
      <c r="C22" s="15">
        <v>370</v>
      </c>
      <c r="D22" s="13" t="s">
        <v>803</v>
      </c>
      <c r="E22" s="13" t="s">
        <v>763</v>
      </c>
      <c r="F22" s="13" t="s">
        <v>804</v>
      </c>
      <c r="G22" s="13" t="s">
        <v>805</v>
      </c>
      <c r="H22" s="13">
        <v>7</v>
      </c>
      <c r="I22" s="16">
        <v>388</v>
      </c>
      <c r="J22" s="16">
        <v>398</v>
      </c>
      <c r="K22" s="16">
        <v>420</v>
      </c>
      <c r="L22" s="16">
        <v>9</v>
      </c>
      <c r="M22" s="16">
        <v>1.2857142857142858</v>
      </c>
      <c r="N22" s="13"/>
      <c r="O22" s="13"/>
      <c r="P22" s="13"/>
      <c r="Q22" s="13"/>
      <c r="R22" s="13" t="s">
        <v>774</v>
      </c>
      <c r="S22" s="18" t="s">
        <v>1982</v>
      </c>
    </row>
    <row r="23" spans="1:19" ht="52.05" customHeight="1">
      <c r="A23" s="14" t="s">
        <v>48</v>
      </c>
      <c r="B23" s="13">
        <v>2025</v>
      </c>
      <c r="C23" s="15">
        <v>355</v>
      </c>
      <c r="D23" s="13" t="s">
        <v>806</v>
      </c>
      <c r="E23" s="13" t="s">
        <v>763</v>
      </c>
      <c r="F23" s="13" t="s">
        <v>807</v>
      </c>
      <c r="G23" s="13" t="s">
        <v>808</v>
      </c>
      <c r="H23" s="13">
        <v>14</v>
      </c>
      <c r="I23" s="16">
        <v>359</v>
      </c>
      <c r="J23" s="16">
        <v>383.5</v>
      </c>
      <c r="K23" s="16">
        <v>421</v>
      </c>
      <c r="L23" s="16">
        <v>17</v>
      </c>
      <c r="M23" s="16">
        <v>1.2142857142857142</v>
      </c>
      <c r="N23" s="13"/>
      <c r="O23" s="13"/>
      <c r="P23" s="13"/>
      <c r="Q23" s="13"/>
      <c r="R23" s="13" t="s">
        <v>774</v>
      </c>
      <c r="S23" s="18" t="s">
        <v>1983</v>
      </c>
    </row>
    <row r="24" spans="1:19" ht="52.05" customHeight="1">
      <c r="A24" s="14" t="s">
        <v>48</v>
      </c>
      <c r="B24" s="13">
        <v>2026</v>
      </c>
      <c r="C24" s="15">
        <v>406</v>
      </c>
      <c r="D24" s="13" t="s">
        <v>809</v>
      </c>
      <c r="E24" s="13" t="s">
        <v>770</v>
      </c>
      <c r="F24" s="13" t="s">
        <v>810</v>
      </c>
      <c r="G24" s="13" t="s">
        <v>811</v>
      </c>
      <c r="H24" s="13">
        <v>11</v>
      </c>
      <c r="I24" s="16">
        <v>409</v>
      </c>
      <c r="J24" s="16">
        <v>424</v>
      </c>
      <c r="K24" s="16">
        <v>449</v>
      </c>
      <c r="L24" s="16">
        <v>14</v>
      </c>
      <c r="M24" s="16">
        <v>1.2727272727272727</v>
      </c>
      <c r="N24" s="13"/>
      <c r="O24" s="13"/>
      <c r="P24" s="13"/>
      <c r="Q24" s="13"/>
      <c r="R24" s="13" t="s">
        <v>758</v>
      </c>
      <c r="S24" s="18" t="s">
        <v>1984</v>
      </c>
    </row>
    <row r="25" spans="1:19" ht="52.05" customHeight="1">
      <c r="A25" s="14" t="s">
        <v>44</v>
      </c>
      <c r="B25" s="13">
        <v>2022</v>
      </c>
      <c r="C25" s="15">
        <v>390</v>
      </c>
      <c r="D25" s="13" t="s">
        <v>812</v>
      </c>
      <c r="E25" s="13" t="s">
        <v>755</v>
      </c>
      <c r="F25" s="13" t="s">
        <v>756</v>
      </c>
      <c r="G25" s="13" t="s">
        <v>757</v>
      </c>
      <c r="H25" s="13">
        <v>6</v>
      </c>
      <c r="I25" s="16">
        <v>394</v>
      </c>
      <c r="J25" s="16"/>
      <c r="K25" s="16"/>
      <c r="L25" s="16">
        <v>11</v>
      </c>
      <c r="M25" s="16">
        <v>1.8333333333333333</v>
      </c>
      <c r="N25" s="13"/>
      <c r="O25" s="13"/>
      <c r="P25" s="13"/>
      <c r="Q25" s="13"/>
      <c r="R25" s="13" t="s">
        <v>774</v>
      </c>
      <c r="S25" s="18" t="s">
        <v>1993</v>
      </c>
    </row>
    <row r="26" spans="1:19" ht="52.05" customHeight="1">
      <c r="A26" s="14" t="s">
        <v>44</v>
      </c>
      <c r="B26" s="13">
        <v>2023</v>
      </c>
      <c r="C26" s="15">
        <v>380</v>
      </c>
      <c r="D26" s="13" t="s">
        <v>813</v>
      </c>
      <c r="E26" s="13" t="s">
        <v>814</v>
      </c>
      <c r="F26" s="13" t="s">
        <v>815</v>
      </c>
      <c r="G26" s="13" t="s">
        <v>816</v>
      </c>
      <c r="H26" s="13">
        <v>10</v>
      </c>
      <c r="I26" s="16"/>
      <c r="J26" s="16">
        <v>394.5</v>
      </c>
      <c r="K26" s="16">
        <v>434</v>
      </c>
      <c r="L26" s="16">
        <v>12</v>
      </c>
      <c r="M26" s="16">
        <v>1.2</v>
      </c>
      <c r="N26" s="13"/>
      <c r="O26" s="13"/>
      <c r="P26" s="13"/>
      <c r="Q26" s="13"/>
      <c r="R26" s="13" t="s">
        <v>774</v>
      </c>
      <c r="S26" s="18" t="s">
        <v>1994</v>
      </c>
    </row>
    <row r="27" spans="1:19" ht="52.05" customHeight="1">
      <c r="A27" s="14" t="s">
        <v>44</v>
      </c>
      <c r="B27" s="13">
        <v>2024</v>
      </c>
      <c r="C27" s="15">
        <v>380</v>
      </c>
      <c r="D27" s="13" t="s">
        <v>766</v>
      </c>
      <c r="E27" s="13" t="s">
        <v>763</v>
      </c>
      <c r="F27" s="13" t="s">
        <v>817</v>
      </c>
      <c r="G27" s="13" t="s">
        <v>818</v>
      </c>
      <c r="H27" s="13">
        <v>11</v>
      </c>
      <c r="I27" s="16">
        <v>380</v>
      </c>
      <c r="J27" s="16">
        <v>404</v>
      </c>
      <c r="K27" s="16">
        <v>437</v>
      </c>
      <c r="L27" s="16">
        <v>12</v>
      </c>
      <c r="M27" s="16">
        <v>1.0909090909090908</v>
      </c>
      <c r="N27" s="13"/>
      <c r="O27" s="13"/>
      <c r="P27" s="13"/>
      <c r="Q27" s="13"/>
      <c r="R27" s="13" t="s">
        <v>774</v>
      </c>
      <c r="S27" s="18" t="s">
        <v>1995</v>
      </c>
    </row>
    <row r="28" spans="1:19" ht="52.05" customHeight="1">
      <c r="A28" s="14" t="s">
        <v>44</v>
      </c>
      <c r="B28" s="13">
        <v>2025</v>
      </c>
      <c r="C28" s="15">
        <v>333</v>
      </c>
      <c r="D28" s="13" t="s">
        <v>819</v>
      </c>
      <c r="E28" s="13" t="s">
        <v>763</v>
      </c>
      <c r="F28" s="13" t="s">
        <v>820</v>
      </c>
      <c r="G28" s="13" t="s">
        <v>821</v>
      </c>
      <c r="H28" s="13">
        <v>12</v>
      </c>
      <c r="I28" s="16">
        <v>343</v>
      </c>
      <c r="J28" s="16">
        <v>377.5</v>
      </c>
      <c r="K28" s="16">
        <v>437</v>
      </c>
      <c r="L28" s="16">
        <v>12</v>
      </c>
      <c r="M28" s="16">
        <v>1</v>
      </c>
      <c r="N28" s="13"/>
      <c r="O28" s="13"/>
      <c r="P28" s="13"/>
      <c r="Q28" s="13"/>
      <c r="R28" s="13" t="s">
        <v>774</v>
      </c>
      <c r="S28" s="18" t="s">
        <v>1996</v>
      </c>
    </row>
    <row r="29" spans="1:19" ht="52.05" customHeight="1">
      <c r="A29" s="14" t="s">
        <v>44</v>
      </c>
      <c r="B29" s="13">
        <v>2026</v>
      </c>
      <c r="C29" s="15">
        <v>390</v>
      </c>
      <c r="D29" s="13" t="s">
        <v>822</v>
      </c>
      <c r="E29" s="13" t="s">
        <v>823</v>
      </c>
      <c r="F29" s="13" t="s">
        <v>824</v>
      </c>
      <c r="G29" s="13" t="s">
        <v>825</v>
      </c>
      <c r="H29" s="13">
        <v>12</v>
      </c>
      <c r="I29" s="16">
        <v>392</v>
      </c>
      <c r="J29" s="16">
        <v>403.5</v>
      </c>
      <c r="K29" s="16">
        <v>432</v>
      </c>
      <c r="L29" s="16">
        <v>17</v>
      </c>
      <c r="M29" s="16">
        <v>1.4166666666666667</v>
      </c>
      <c r="N29" s="13"/>
      <c r="O29" s="13"/>
      <c r="P29" s="13"/>
      <c r="Q29" s="13"/>
      <c r="R29" s="13" t="s">
        <v>826</v>
      </c>
      <c r="S29" s="18" t="s">
        <v>1997</v>
      </c>
    </row>
    <row r="30" spans="1:19" ht="52.05" customHeight="1">
      <c r="A30" s="14" t="s">
        <v>43</v>
      </c>
      <c r="B30" s="13">
        <v>2022</v>
      </c>
      <c r="C30" s="15">
        <v>380</v>
      </c>
      <c r="D30" s="13" t="s">
        <v>827</v>
      </c>
      <c r="E30" s="13" t="s">
        <v>755</v>
      </c>
      <c r="F30" s="13" t="s">
        <v>756</v>
      </c>
      <c r="G30" s="13" t="s">
        <v>757</v>
      </c>
      <c r="H30" s="13">
        <v>62</v>
      </c>
      <c r="I30" s="16"/>
      <c r="J30" s="16"/>
      <c r="K30" s="16"/>
      <c r="L30" s="16">
        <v>75</v>
      </c>
      <c r="M30" s="16">
        <v>1.2096774193548387</v>
      </c>
      <c r="N30" s="13"/>
      <c r="O30" s="13"/>
      <c r="P30" s="13"/>
      <c r="Q30" s="13"/>
      <c r="R30" s="13" t="s">
        <v>774</v>
      </c>
      <c r="S30" s="18" t="s">
        <v>2051</v>
      </c>
    </row>
    <row r="31" spans="1:19" ht="52.05" customHeight="1">
      <c r="A31" s="14" t="s">
        <v>43</v>
      </c>
      <c r="B31" s="13">
        <v>2023</v>
      </c>
      <c r="C31" s="15">
        <v>380</v>
      </c>
      <c r="D31" s="13" t="s">
        <v>828</v>
      </c>
      <c r="E31" s="13" t="s">
        <v>35</v>
      </c>
      <c r="F31" s="13" t="s">
        <v>829</v>
      </c>
      <c r="G31" s="13" t="s">
        <v>761</v>
      </c>
      <c r="H31" s="13">
        <v>25</v>
      </c>
      <c r="I31" s="16">
        <v>383</v>
      </c>
      <c r="J31" s="16"/>
      <c r="K31" s="16"/>
      <c r="L31" s="16">
        <v>31</v>
      </c>
      <c r="M31" s="16">
        <v>1.24</v>
      </c>
      <c r="N31" s="13"/>
      <c r="O31" s="13"/>
      <c r="P31" s="13"/>
      <c r="Q31" s="13"/>
      <c r="R31" s="13" t="s">
        <v>774</v>
      </c>
      <c r="S31" s="18" t="s">
        <v>2051</v>
      </c>
    </row>
    <row r="32" spans="1:19" ht="52.05" customHeight="1">
      <c r="A32" s="14" t="s">
        <v>43</v>
      </c>
      <c r="B32" s="13">
        <v>2024</v>
      </c>
      <c r="C32" s="15">
        <v>400</v>
      </c>
      <c r="D32" s="13" t="s">
        <v>830</v>
      </c>
      <c r="E32" s="13" t="s">
        <v>763</v>
      </c>
      <c r="F32" s="13" t="s">
        <v>831</v>
      </c>
      <c r="G32" s="13" t="s">
        <v>832</v>
      </c>
      <c r="H32" s="13">
        <v>29</v>
      </c>
      <c r="I32" s="16">
        <v>405</v>
      </c>
      <c r="J32" s="16">
        <v>419</v>
      </c>
      <c r="K32" s="16">
        <v>450</v>
      </c>
      <c r="L32" s="16">
        <v>37</v>
      </c>
      <c r="M32" s="16">
        <v>1.2758620689655171</v>
      </c>
      <c r="N32" s="13"/>
      <c r="O32" s="13"/>
      <c r="P32" s="13"/>
      <c r="Q32" s="13"/>
      <c r="R32" s="13" t="s">
        <v>774</v>
      </c>
      <c r="S32" s="18" t="s">
        <v>2052</v>
      </c>
    </row>
    <row r="33" spans="1:19" ht="52.05" customHeight="1">
      <c r="A33" s="14" t="s">
        <v>43</v>
      </c>
      <c r="B33" s="13">
        <v>2025</v>
      </c>
      <c r="C33" s="15">
        <v>355</v>
      </c>
      <c r="D33" s="13" t="s">
        <v>833</v>
      </c>
      <c r="E33" s="13" t="s">
        <v>834</v>
      </c>
      <c r="F33" s="13"/>
      <c r="G33" s="13" t="s">
        <v>835</v>
      </c>
      <c r="H33" s="13">
        <v>28</v>
      </c>
      <c r="I33" s="16">
        <v>358</v>
      </c>
      <c r="J33" s="16"/>
      <c r="K33" s="16"/>
      <c r="L33" s="16">
        <v>54</v>
      </c>
      <c r="M33" s="16">
        <v>1.29</v>
      </c>
      <c r="N33" s="13"/>
      <c r="O33" s="13"/>
      <c r="P33" s="13"/>
      <c r="Q33" s="13"/>
      <c r="R33" s="13" t="s">
        <v>758</v>
      </c>
      <c r="S33" s="18" t="s">
        <v>2053</v>
      </c>
    </row>
    <row r="34" spans="1:19" ht="52.05" customHeight="1">
      <c r="A34" s="14" t="s">
        <v>43</v>
      </c>
      <c r="B34" s="13">
        <v>2026</v>
      </c>
      <c r="C34" s="15">
        <v>340</v>
      </c>
      <c r="D34" s="13" t="s">
        <v>836</v>
      </c>
      <c r="E34" s="13" t="s">
        <v>763</v>
      </c>
      <c r="F34" s="13" t="s">
        <v>837</v>
      </c>
      <c r="G34" s="13" t="s">
        <v>838</v>
      </c>
      <c r="H34" s="13">
        <v>46</v>
      </c>
      <c r="I34" s="16">
        <v>344</v>
      </c>
      <c r="J34" s="16">
        <v>400.5</v>
      </c>
      <c r="K34" s="16">
        <v>434</v>
      </c>
      <c r="L34" s="16">
        <v>53</v>
      </c>
      <c r="M34" s="16">
        <v>1.1521739130434785</v>
      </c>
      <c r="N34" s="13"/>
      <c r="O34" s="13"/>
      <c r="P34" s="13"/>
      <c r="Q34" s="13"/>
      <c r="R34" s="13" t="s">
        <v>774</v>
      </c>
      <c r="S34" s="18" t="s">
        <v>2054</v>
      </c>
    </row>
    <row r="35" spans="1:19" ht="52.05" customHeight="1">
      <c r="A35" s="14" t="s">
        <v>47</v>
      </c>
      <c r="B35" s="13">
        <v>2022</v>
      </c>
      <c r="C35" s="15">
        <v>367</v>
      </c>
      <c r="D35" s="13" t="s">
        <v>839</v>
      </c>
      <c r="E35" s="13" t="s">
        <v>755</v>
      </c>
      <c r="F35" s="13" t="s">
        <v>840</v>
      </c>
      <c r="G35" s="13" t="s">
        <v>757</v>
      </c>
      <c r="H35" s="13">
        <v>190</v>
      </c>
      <c r="I35" s="16"/>
      <c r="J35" s="16"/>
      <c r="K35" s="16"/>
      <c r="L35" s="16"/>
      <c r="M35" s="16"/>
      <c r="N35" s="13"/>
      <c r="O35" s="13"/>
      <c r="P35" s="13"/>
      <c r="Q35" s="13"/>
      <c r="R35" s="13" t="s">
        <v>774</v>
      </c>
      <c r="S35" s="18" t="s">
        <v>2076</v>
      </c>
    </row>
    <row r="36" spans="1:19" ht="52.05" customHeight="1">
      <c r="A36" s="14" t="s">
        <v>47</v>
      </c>
      <c r="B36" s="13">
        <v>2023</v>
      </c>
      <c r="C36" s="15">
        <v>365</v>
      </c>
      <c r="D36" s="18" t="s">
        <v>2077</v>
      </c>
      <c r="E36" s="18" t="s">
        <v>2078</v>
      </c>
      <c r="F36" s="13" t="s">
        <v>843</v>
      </c>
      <c r="G36" s="13" t="s">
        <v>761</v>
      </c>
      <c r="H36" s="13">
        <v>188</v>
      </c>
      <c r="I36" s="16">
        <v>364</v>
      </c>
      <c r="J36" s="16"/>
      <c r="K36" s="16"/>
      <c r="L36" s="16">
        <v>239</v>
      </c>
      <c r="M36" s="16">
        <v>1.2712765957446808</v>
      </c>
      <c r="N36" s="13"/>
      <c r="O36" s="13"/>
      <c r="P36" s="13"/>
      <c r="Q36" s="13"/>
      <c r="R36" s="13" t="s">
        <v>774</v>
      </c>
      <c r="S36" s="18" t="s">
        <v>2076</v>
      </c>
    </row>
    <row r="37" spans="1:19" ht="52.05" customHeight="1">
      <c r="A37" s="14" t="s">
        <v>47</v>
      </c>
      <c r="B37" s="13">
        <v>2024</v>
      </c>
      <c r="C37" s="15">
        <v>380</v>
      </c>
      <c r="D37" s="13" t="s">
        <v>844</v>
      </c>
      <c r="E37" s="13" t="s">
        <v>845</v>
      </c>
      <c r="F37" s="13" t="s">
        <v>846</v>
      </c>
      <c r="G37" s="13" t="s">
        <v>847</v>
      </c>
      <c r="H37" s="13">
        <v>95</v>
      </c>
      <c r="I37" s="16">
        <v>339</v>
      </c>
      <c r="J37" s="16">
        <v>394</v>
      </c>
      <c r="K37" s="16">
        <v>437</v>
      </c>
      <c r="L37" s="16">
        <v>116</v>
      </c>
      <c r="M37" s="16">
        <v>1.2210526315789474</v>
      </c>
      <c r="N37" s="13"/>
      <c r="O37" s="13"/>
      <c r="P37" s="13"/>
      <c r="Q37" s="13"/>
      <c r="R37" s="13" t="s">
        <v>774</v>
      </c>
      <c r="S37" s="18" t="s">
        <v>2079</v>
      </c>
    </row>
    <row r="38" spans="1:19" ht="52.05" customHeight="1">
      <c r="A38" s="14" t="s">
        <v>47</v>
      </c>
      <c r="B38" s="13">
        <v>2025</v>
      </c>
      <c r="C38" s="15">
        <v>323</v>
      </c>
      <c r="D38" s="13" t="s">
        <v>848</v>
      </c>
      <c r="E38" s="13" t="s">
        <v>763</v>
      </c>
      <c r="F38" s="13" t="s">
        <v>849</v>
      </c>
      <c r="G38" s="13" t="s">
        <v>850</v>
      </c>
      <c r="H38" s="13">
        <v>131</v>
      </c>
      <c r="I38" s="16">
        <v>324</v>
      </c>
      <c r="J38" s="16"/>
      <c r="K38" s="16"/>
      <c r="L38" s="16">
        <v>162</v>
      </c>
      <c r="M38" s="16">
        <v>1.2</v>
      </c>
      <c r="N38" s="13"/>
      <c r="O38" s="13"/>
      <c r="P38" s="13"/>
      <c r="Q38" s="13"/>
      <c r="R38" s="13" t="s">
        <v>758</v>
      </c>
      <c r="S38" s="18" t="s">
        <v>2080</v>
      </c>
    </row>
    <row r="39" spans="1:19" ht="52.05" customHeight="1">
      <c r="A39" s="14" t="s">
        <v>47</v>
      </c>
      <c r="B39" s="13">
        <v>2026</v>
      </c>
      <c r="C39" s="15">
        <v>324</v>
      </c>
      <c r="D39" s="13" t="s">
        <v>851</v>
      </c>
      <c r="E39" s="13" t="s">
        <v>763</v>
      </c>
      <c r="F39" s="13" t="s">
        <v>852</v>
      </c>
      <c r="G39" s="13" t="s">
        <v>853</v>
      </c>
      <c r="H39" s="13">
        <v>97</v>
      </c>
      <c r="I39" s="16">
        <v>336</v>
      </c>
      <c r="J39" s="16">
        <v>390</v>
      </c>
      <c r="K39" s="16">
        <v>443</v>
      </c>
      <c r="L39" s="16">
        <v>124</v>
      </c>
      <c r="M39" s="16">
        <v>1.2783505154639174</v>
      </c>
      <c r="N39" s="13"/>
      <c r="O39" s="13"/>
      <c r="P39" s="13"/>
      <c r="Q39" s="13"/>
      <c r="R39" s="13" t="s">
        <v>774</v>
      </c>
      <c r="S39" s="18" t="s">
        <v>2081</v>
      </c>
    </row>
    <row r="40" spans="1:19" ht="52.05" customHeight="1">
      <c r="A40" s="14" t="s">
        <v>52</v>
      </c>
      <c r="B40" s="13">
        <v>2022</v>
      </c>
      <c r="C40" s="15">
        <v>415</v>
      </c>
      <c r="D40" s="13" t="s">
        <v>854</v>
      </c>
      <c r="E40" s="13" t="s">
        <v>755</v>
      </c>
      <c r="F40" s="13" t="s">
        <v>756</v>
      </c>
      <c r="G40" s="13" t="s">
        <v>757</v>
      </c>
      <c r="H40" s="13">
        <v>16</v>
      </c>
      <c r="I40" s="16"/>
      <c r="J40" s="16">
        <v>428</v>
      </c>
      <c r="K40" s="16">
        <v>452</v>
      </c>
      <c r="L40" s="16">
        <v>23</v>
      </c>
      <c r="M40" s="16">
        <v>1.4375</v>
      </c>
      <c r="N40" s="13"/>
      <c r="O40" s="13"/>
      <c r="P40" s="13"/>
      <c r="Q40" s="13"/>
      <c r="R40" s="13" t="s">
        <v>774</v>
      </c>
      <c r="S40" s="18" t="s">
        <v>2068</v>
      </c>
    </row>
    <row r="41" spans="1:19" ht="52.05" customHeight="1">
      <c r="A41" s="14" t="s">
        <v>52</v>
      </c>
      <c r="B41" s="13">
        <v>2023</v>
      </c>
      <c r="C41" s="15">
        <v>370</v>
      </c>
      <c r="D41" s="13" t="s">
        <v>855</v>
      </c>
      <c r="E41" s="13" t="s">
        <v>35</v>
      </c>
      <c r="F41" s="13" t="s">
        <v>856</v>
      </c>
      <c r="G41" s="13" t="s">
        <v>761</v>
      </c>
      <c r="H41" s="13">
        <v>15</v>
      </c>
      <c r="I41" s="16">
        <v>371</v>
      </c>
      <c r="J41" s="16"/>
      <c r="K41" s="16"/>
      <c r="L41" s="16">
        <v>17</v>
      </c>
      <c r="M41" s="16">
        <v>1.1333333333333333</v>
      </c>
      <c r="N41" s="13"/>
      <c r="O41" s="13"/>
      <c r="P41" s="13"/>
      <c r="Q41" s="13"/>
      <c r="R41" s="13" t="s">
        <v>774</v>
      </c>
      <c r="S41" s="18" t="s">
        <v>2069</v>
      </c>
    </row>
    <row r="42" spans="1:19" ht="52.05" customHeight="1">
      <c r="A42" s="14" t="s">
        <v>52</v>
      </c>
      <c r="B42" s="13">
        <v>2024</v>
      </c>
      <c r="C42" s="15">
        <v>385</v>
      </c>
      <c r="D42" s="13" t="s">
        <v>857</v>
      </c>
      <c r="E42" s="13" t="s">
        <v>763</v>
      </c>
      <c r="F42" s="13" t="s">
        <v>858</v>
      </c>
      <c r="G42" s="13" t="s">
        <v>859</v>
      </c>
      <c r="H42" s="13">
        <v>11</v>
      </c>
      <c r="I42" s="16">
        <v>386</v>
      </c>
      <c r="J42" s="16">
        <v>399</v>
      </c>
      <c r="K42" s="16">
        <v>430</v>
      </c>
      <c r="L42" s="16">
        <v>14</v>
      </c>
      <c r="M42" s="16">
        <v>1.2727272727272727</v>
      </c>
      <c r="N42" s="13"/>
      <c r="O42" s="13"/>
      <c r="P42" s="13"/>
      <c r="Q42" s="13"/>
      <c r="R42" s="13" t="s">
        <v>774</v>
      </c>
      <c r="S42" s="18" t="s">
        <v>2070</v>
      </c>
    </row>
    <row r="43" spans="1:19" ht="52.05" customHeight="1">
      <c r="A43" s="14" t="s">
        <v>52</v>
      </c>
      <c r="B43" s="13">
        <v>2025</v>
      </c>
      <c r="C43" s="15">
        <v>380</v>
      </c>
      <c r="D43" s="13" t="s">
        <v>766</v>
      </c>
      <c r="E43" s="13" t="s">
        <v>763</v>
      </c>
      <c r="F43" s="13" t="s">
        <v>860</v>
      </c>
      <c r="G43" s="13" t="s">
        <v>861</v>
      </c>
      <c r="H43" s="13">
        <v>6</v>
      </c>
      <c r="I43" s="16">
        <v>382</v>
      </c>
      <c r="J43" s="16"/>
      <c r="K43" s="16"/>
      <c r="L43" s="16">
        <v>9</v>
      </c>
      <c r="M43" s="16">
        <v>1.5</v>
      </c>
      <c r="N43" s="13"/>
      <c r="O43" s="13"/>
      <c r="P43" s="13"/>
      <c r="Q43" s="13"/>
      <c r="R43" s="13" t="s">
        <v>774</v>
      </c>
      <c r="S43" s="18" t="s">
        <v>2069</v>
      </c>
    </row>
    <row r="44" spans="1:19" ht="52.05" customHeight="1">
      <c r="A44" s="14" t="s">
        <v>52</v>
      </c>
      <c r="B44" s="13">
        <v>2026</v>
      </c>
      <c r="C44" s="15">
        <v>325</v>
      </c>
      <c r="D44" s="13" t="s">
        <v>862</v>
      </c>
      <c r="E44" s="13" t="s">
        <v>763</v>
      </c>
      <c r="F44" s="13" t="s">
        <v>863</v>
      </c>
      <c r="G44" s="13" t="s">
        <v>864</v>
      </c>
      <c r="H44" s="13">
        <v>13</v>
      </c>
      <c r="I44" s="16">
        <v>346</v>
      </c>
      <c r="J44" s="16">
        <v>382</v>
      </c>
      <c r="K44" s="16">
        <v>411</v>
      </c>
      <c r="L44" s="16">
        <v>13</v>
      </c>
      <c r="M44" s="16">
        <v>1</v>
      </c>
      <c r="N44" s="13"/>
      <c r="O44" s="13"/>
      <c r="P44" s="13"/>
      <c r="Q44" s="13"/>
      <c r="R44" s="13" t="s">
        <v>774</v>
      </c>
      <c r="S44" s="18" t="s">
        <v>2071</v>
      </c>
    </row>
    <row r="45" spans="1:19" ht="52.05" customHeight="1">
      <c r="A45" s="14" t="s">
        <v>51</v>
      </c>
      <c r="B45" s="13">
        <v>2022</v>
      </c>
      <c r="C45" s="15">
        <v>360</v>
      </c>
      <c r="D45" s="13" t="s">
        <v>865</v>
      </c>
      <c r="E45" s="13" t="s">
        <v>755</v>
      </c>
      <c r="F45" s="13" t="s">
        <v>756</v>
      </c>
      <c r="G45" s="13" t="s">
        <v>757</v>
      </c>
      <c r="H45" s="13">
        <v>59</v>
      </c>
      <c r="I45" s="16"/>
      <c r="J45" s="16"/>
      <c r="K45" s="16"/>
      <c r="L45" s="16">
        <v>72</v>
      </c>
      <c r="M45" s="16">
        <v>1.2203389830508475</v>
      </c>
      <c r="N45" s="13"/>
      <c r="O45" s="13"/>
      <c r="P45" s="13"/>
      <c r="Q45" s="13"/>
      <c r="R45" s="13" t="s">
        <v>774</v>
      </c>
      <c r="S45" s="18" t="s">
        <v>2029</v>
      </c>
    </row>
    <row r="46" spans="1:19" ht="52.05" customHeight="1">
      <c r="A46" s="14" t="s">
        <v>51</v>
      </c>
      <c r="B46" s="13">
        <v>2023</v>
      </c>
      <c r="C46" s="15">
        <v>370</v>
      </c>
      <c r="D46" s="13" t="s">
        <v>866</v>
      </c>
      <c r="E46" s="13" t="s">
        <v>35</v>
      </c>
      <c r="F46" s="13" t="s">
        <v>867</v>
      </c>
      <c r="G46" s="13" t="s">
        <v>761</v>
      </c>
      <c r="H46" s="13">
        <v>59</v>
      </c>
      <c r="I46" s="16">
        <v>376</v>
      </c>
      <c r="J46" s="16"/>
      <c r="K46" s="16"/>
      <c r="L46" s="16">
        <v>76</v>
      </c>
      <c r="M46" s="16">
        <v>1.2881355932203389</v>
      </c>
      <c r="N46" s="13"/>
      <c r="O46" s="13"/>
      <c r="P46" s="13"/>
      <c r="Q46" s="13"/>
      <c r="R46" s="13" t="s">
        <v>774</v>
      </c>
      <c r="S46" s="18" t="s">
        <v>2029</v>
      </c>
    </row>
    <row r="47" spans="1:19" ht="52.05" customHeight="1">
      <c r="A47" s="14" t="s">
        <v>51</v>
      </c>
      <c r="B47" s="13">
        <v>2024</v>
      </c>
      <c r="C47" s="15">
        <v>350</v>
      </c>
      <c r="D47" s="13" t="s">
        <v>868</v>
      </c>
      <c r="E47" s="13" t="s">
        <v>763</v>
      </c>
      <c r="F47" s="13" t="s">
        <v>869</v>
      </c>
      <c r="G47" s="13" t="s">
        <v>870</v>
      </c>
      <c r="H47" s="13">
        <v>69</v>
      </c>
      <c r="I47" s="16">
        <v>350</v>
      </c>
      <c r="J47" s="16"/>
      <c r="K47" s="16"/>
      <c r="L47" s="16"/>
      <c r="M47" s="16"/>
      <c r="N47" s="13"/>
      <c r="O47" s="13"/>
      <c r="P47" s="13"/>
      <c r="Q47" s="13"/>
      <c r="R47" s="13" t="s">
        <v>774</v>
      </c>
      <c r="S47" s="18" t="s">
        <v>2029</v>
      </c>
    </row>
    <row r="48" spans="1:19" ht="52.05" customHeight="1">
      <c r="A48" s="14" t="s">
        <v>51</v>
      </c>
      <c r="B48" s="13">
        <v>2025</v>
      </c>
      <c r="C48" s="15">
        <v>345</v>
      </c>
      <c r="D48" s="13" t="s">
        <v>780</v>
      </c>
      <c r="E48" s="13" t="s">
        <v>763</v>
      </c>
      <c r="F48" s="13" t="s">
        <v>871</v>
      </c>
      <c r="G48" s="13" t="s">
        <v>872</v>
      </c>
      <c r="H48" s="13">
        <v>44</v>
      </c>
      <c r="I48" s="16">
        <v>362</v>
      </c>
      <c r="J48" s="16"/>
      <c r="K48" s="16"/>
      <c r="L48" s="16">
        <v>56</v>
      </c>
      <c r="M48" s="16">
        <v>1.2727272727272727</v>
      </c>
      <c r="N48" s="13"/>
      <c r="O48" s="13"/>
      <c r="P48" s="13"/>
      <c r="Q48" s="13"/>
      <c r="R48" s="13" t="s">
        <v>774</v>
      </c>
      <c r="S48" s="18" t="s">
        <v>2029</v>
      </c>
    </row>
    <row r="49" spans="1:19" ht="52.05" customHeight="1">
      <c r="A49" s="14" t="s">
        <v>51</v>
      </c>
      <c r="B49" s="13">
        <v>2026</v>
      </c>
      <c r="C49" s="15">
        <v>360</v>
      </c>
      <c r="D49" s="13" t="s">
        <v>873</v>
      </c>
      <c r="E49" s="13" t="s">
        <v>763</v>
      </c>
      <c r="F49" s="13" t="s">
        <v>874</v>
      </c>
      <c r="G49" s="13" t="s">
        <v>875</v>
      </c>
      <c r="H49" s="13">
        <v>66</v>
      </c>
      <c r="I49" s="16">
        <v>370</v>
      </c>
      <c r="J49" s="16">
        <v>398</v>
      </c>
      <c r="K49" s="16">
        <v>429</v>
      </c>
      <c r="L49" s="16">
        <v>38</v>
      </c>
      <c r="M49" s="16">
        <v>0.5757575757575758</v>
      </c>
      <c r="N49" s="13"/>
      <c r="O49" s="13"/>
      <c r="P49" s="13"/>
      <c r="Q49" s="13"/>
      <c r="R49" s="13" t="s">
        <v>774</v>
      </c>
      <c r="S49" s="18" t="s">
        <v>2030</v>
      </c>
    </row>
    <row r="50" spans="1:19" ht="52.05" customHeight="1">
      <c r="A50" s="14" t="s">
        <v>54</v>
      </c>
      <c r="B50" s="13">
        <v>2022</v>
      </c>
      <c r="C50" s="15">
        <v>375</v>
      </c>
      <c r="D50" s="13" t="s">
        <v>799</v>
      </c>
      <c r="E50" s="13" t="s">
        <v>755</v>
      </c>
      <c r="F50" s="13" t="s">
        <v>756</v>
      </c>
      <c r="G50" s="13" t="s">
        <v>757</v>
      </c>
      <c r="H50" s="13">
        <v>14</v>
      </c>
      <c r="I50" s="16"/>
      <c r="J50" s="16"/>
      <c r="K50" s="16"/>
      <c r="L50" s="16">
        <v>19</v>
      </c>
      <c r="M50" s="16">
        <v>1.3571428571428572</v>
      </c>
      <c r="N50" s="13"/>
      <c r="O50" s="13"/>
      <c r="P50" s="13"/>
      <c r="Q50" s="13"/>
      <c r="R50" s="13" t="s">
        <v>774</v>
      </c>
      <c r="S50" s="18" t="s">
        <v>2013</v>
      </c>
    </row>
    <row r="51" spans="1:19" ht="52.05" customHeight="1">
      <c r="A51" s="14" t="s">
        <v>54</v>
      </c>
      <c r="B51" s="13">
        <v>2023</v>
      </c>
      <c r="C51" s="15">
        <v>375</v>
      </c>
      <c r="D51" s="13" t="s">
        <v>876</v>
      </c>
      <c r="E51" s="13" t="s">
        <v>35</v>
      </c>
      <c r="F51" s="13" t="s">
        <v>877</v>
      </c>
      <c r="G51" s="13" t="s">
        <v>761</v>
      </c>
      <c r="H51" s="13">
        <v>10</v>
      </c>
      <c r="I51" s="16">
        <v>377</v>
      </c>
      <c r="J51" s="16"/>
      <c r="K51" s="16"/>
      <c r="L51" s="16">
        <v>13</v>
      </c>
      <c r="M51" s="16">
        <v>1.3</v>
      </c>
      <c r="N51" s="13"/>
      <c r="O51" s="13"/>
      <c r="P51" s="13"/>
      <c r="Q51" s="13"/>
      <c r="R51" s="13" t="s">
        <v>774</v>
      </c>
      <c r="S51" s="18" t="s">
        <v>2013</v>
      </c>
    </row>
    <row r="52" spans="1:19" ht="52.05" customHeight="1">
      <c r="A52" s="14" t="s">
        <v>54</v>
      </c>
      <c r="B52" s="13">
        <v>2024</v>
      </c>
      <c r="C52" s="15">
        <v>365</v>
      </c>
      <c r="D52" s="13" t="s">
        <v>878</v>
      </c>
      <c r="E52" s="13" t="s">
        <v>763</v>
      </c>
      <c r="F52" s="13" t="s">
        <v>879</v>
      </c>
      <c r="G52" s="13" t="s">
        <v>880</v>
      </c>
      <c r="H52" s="13">
        <v>25</v>
      </c>
      <c r="I52" s="16">
        <v>370</v>
      </c>
      <c r="J52" s="16">
        <v>389</v>
      </c>
      <c r="K52" s="16">
        <v>414</v>
      </c>
      <c r="L52" s="16">
        <v>35</v>
      </c>
      <c r="M52" s="16">
        <v>1.4</v>
      </c>
      <c r="N52" s="13"/>
      <c r="O52" s="13"/>
      <c r="P52" s="13"/>
      <c r="Q52" s="13"/>
      <c r="R52" s="13" t="s">
        <v>774</v>
      </c>
      <c r="S52" s="18" t="s">
        <v>2014</v>
      </c>
    </row>
    <row r="53" spans="1:19" ht="52.05" customHeight="1">
      <c r="A53" s="14" t="s">
        <v>54</v>
      </c>
      <c r="B53" s="13">
        <v>2025</v>
      </c>
      <c r="C53" s="15">
        <v>365</v>
      </c>
      <c r="D53" s="13" t="s">
        <v>878</v>
      </c>
      <c r="E53" s="13" t="s">
        <v>763</v>
      </c>
      <c r="F53" s="13" t="s">
        <v>879</v>
      </c>
      <c r="G53" s="13" t="s">
        <v>881</v>
      </c>
      <c r="H53" s="13">
        <v>31</v>
      </c>
      <c r="I53" s="16">
        <v>366</v>
      </c>
      <c r="J53" s="16">
        <v>383</v>
      </c>
      <c r="K53" s="16">
        <v>419</v>
      </c>
      <c r="L53" s="16">
        <v>42</v>
      </c>
      <c r="M53" s="16">
        <v>1.2</v>
      </c>
      <c r="N53" s="13"/>
      <c r="O53" s="13"/>
      <c r="P53" s="13"/>
      <c r="Q53" s="13"/>
      <c r="R53" s="13" t="s">
        <v>758</v>
      </c>
      <c r="S53" s="18" t="s">
        <v>2015</v>
      </c>
    </row>
    <row r="54" spans="1:19" ht="52.05" customHeight="1">
      <c r="A54" s="14" t="s">
        <v>54</v>
      </c>
      <c r="B54" s="13">
        <v>2026</v>
      </c>
      <c r="C54" s="15">
        <v>375</v>
      </c>
      <c r="D54" s="13" t="s">
        <v>793</v>
      </c>
      <c r="E54" s="13" t="s">
        <v>763</v>
      </c>
      <c r="F54" s="13" t="s">
        <v>882</v>
      </c>
      <c r="G54" s="13" t="s">
        <v>883</v>
      </c>
      <c r="H54" s="13">
        <v>29</v>
      </c>
      <c r="I54" s="16">
        <v>376</v>
      </c>
      <c r="J54" s="16">
        <v>392</v>
      </c>
      <c r="K54" s="16">
        <v>427</v>
      </c>
      <c r="L54" s="16">
        <v>34</v>
      </c>
      <c r="M54" s="16">
        <v>1.1724137931034482</v>
      </c>
      <c r="N54" s="13"/>
      <c r="O54" s="13"/>
      <c r="P54" s="13"/>
      <c r="Q54" s="13"/>
      <c r="R54" s="13" t="s">
        <v>774</v>
      </c>
      <c r="S54" s="18" t="s">
        <v>2016</v>
      </c>
    </row>
    <row r="55" spans="1:19" ht="52.05" customHeight="1">
      <c r="A55" s="14" t="s">
        <v>53</v>
      </c>
      <c r="B55" s="13">
        <v>2022</v>
      </c>
      <c r="C55" s="15">
        <v>370</v>
      </c>
      <c r="D55" s="13" t="s">
        <v>884</v>
      </c>
      <c r="E55" s="13" t="s">
        <v>755</v>
      </c>
      <c r="F55" s="13" t="s">
        <v>756</v>
      </c>
      <c r="G55" s="13" t="s">
        <v>757</v>
      </c>
      <c r="H55" s="13">
        <v>51</v>
      </c>
      <c r="I55" s="16"/>
      <c r="J55" s="16"/>
      <c r="K55" s="16"/>
      <c r="L55" s="16">
        <v>71</v>
      </c>
      <c r="M55" s="16">
        <v>1.392156862745098</v>
      </c>
      <c r="N55" s="13"/>
      <c r="O55" s="13"/>
      <c r="P55" s="13"/>
      <c r="Q55" s="13"/>
      <c r="R55" s="13" t="s">
        <v>774</v>
      </c>
      <c r="S55" s="18" t="s">
        <v>2059</v>
      </c>
    </row>
    <row r="56" spans="1:19" ht="52.05" customHeight="1">
      <c r="A56" s="14" t="s">
        <v>53</v>
      </c>
      <c r="B56" s="13">
        <v>2023</v>
      </c>
      <c r="C56" s="15">
        <v>380</v>
      </c>
      <c r="D56" s="13" t="s">
        <v>885</v>
      </c>
      <c r="E56" s="13" t="s">
        <v>35</v>
      </c>
      <c r="F56" s="13" t="s">
        <v>886</v>
      </c>
      <c r="G56" s="13" t="s">
        <v>887</v>
      </c>
      <c r="H56" s="13">
        <v>44</v>
      </c>
      <c r="I56" s="16">
        <v>380</v>
      </c>
      <c r="J56" s="16"/>
      <c r="K56" s="16"/>
      <c r="L56" s="16">
        <v>71</v>
      </c>
      <c r="M56" s="16">
        <v>1.6136363636363635</v>
      </c>
      <c r="N56" s="13"/>
      <c r="O56" s="13"/>
      <c r="P56" s="13"/>
      <c r="Q56" s="13"/>
      <c r="R56" s="13" t="s">
        <v>774</v>
      </c>
      <c r="S56" s="18" t="s">
        <v>2059</v>
      </c>
    </row>
    <row r="57" spans="1:19" ht="52.05" customHeight="1">
      <c r="A57" s="14" t="s">
        <v>53</v>
      </c>
      <c r="B57" s="13">
        <v>2024</v>
      </c>
      <c r="C57" s="15">
        <v>390</v>
      </c>
      <c r="D57" s="13" t="s">
        <v>888</v>
      </c>
      <c r="E57" s="13" t="s">
        <v>763</v>
      </c>
      <c r="F57" s="13" t="s">
        <v>889</v>
      </c>
      <c r="G57" s="13" t="s">
        <v>890</v>
      </c>
      <c r="H57" s="13">
        <v>48</v>
      </c>
      <c r="I57" s="16">
        <v>396</v>
      </c>
      <c r="J57" s="16"/>
      <c r="K57" s="16"/>
      <c r="L57" s="16">
        <v>74</v>
      </c>
      <c r="M57" s="16">
        <v>1.5416666666666667</v>
      </c>
      <c r="N57" s="13"/>
      <c r="O57" s="13"/>
      <c r="P57" s="13"/>
      <c r="Q57" s="13"/>
      <c r="R57" s="13" t="s">
        <v>774</v>
      </c>
      <c r="S57" s="18" t="s">
        <v>2059</v>
      </c>
    </row>
    <row r="58" spans="1:19" ht="52.05" customHeight="1">
      <c r="A58" s="14" t="s">
        <v>53</v>
      </c>
      <c r="B58" s="13">
        <v>2025</v>
      </c>
      <c r="C58" s="15">
        <v>330</v>
      </c>
      <c r="D58" s="13" t="s">
        <v>891</v>
      </c>
      <c r="E58" s="13" t="s">
        <v>763</v>
      </c>
      <c r="F58" s="13" t="s">
        <v>892</v>
      </c>
      <c r="G58" s="13" t="s">
        <v>893</v>
      </c>
      <c r="H58" s="13">
        <v>46</v>
      </c>
      <c r="I58" s="16">
        <v>331</v>
      </c>
      <c r="J58" s="16">
        <v>375.5</v>
      </c>
      <c r="K58" s="16">
        <v>426</v>
      </c>
      <c r="L58" s="16">
        <v>70</v>
      </c>
      <c r="M58" s="16">
        <v>1.5217391304347827</v>
      </c>
      <c r="N58" s="13"/>
      <c r="O58" s="13"/>
      <c r="P58" s="13"/>
      <c r="Q58" s="13"/>
      <c r="R58" s="13" t="s">
        <v>774</v>
      </c>
      <c r="S58" s="18" t="s">
        <v>2060</v>
      </c>
    </row>
    <row r="59" spans="1:19" ht="52.05" customHeight="1">
      <c r="A59" s="14" t="s">
        <v>53</v>
      </c>
      <c r="B59" s="13">
        <v>2026</v>
      </c>
      <c r="C59" s="15">
        <v>330</v>
      </c>
      <c r="D59" s="13" t="s">
        <v>891</v>
      </c>
      <c r="E59" s="13" t="s">
        <v>763</v>
      </c>
      <c r="F59" s="13" t="s">
        <v>892</v>
      </c>
      <c r="G59" s="13" t="s">
        <v>894</v>
      </c>
      <c r="H59" s="13">
        <v>44</v>
      </c>
      <c r="I59" s="16">
        <v>367</v>
      </c>
      <c r="J59" s="16">
        <v>406</v>
      </c>
      <c r="K59" s="16">
        <v>450</v>
      </c>
      <c r="L59" s="16">
        <v>62</v>
      </c>
      <c r="M59" s="16">
        <v>1.4090909090909092</v>
      </c>
      <c r="N59" s="13"/>
      <c r="O59" s="13"/>
      <c r="P59" s="13"/>
      <c r="Q59" s="13"/>
      <c r="R59" s="13" t="s">
        <v>774</v>
      </c>
      <c r="S59" s="18" t="s">
        <v>2061</v>
      </c>
    </row>
    <row r="60" spans="1:19" ht="52.05" customHeight="1">
      <c r="A60" s="14" t="s">
        <v>57</v>
      </c>
      <c r="B60" s="13">
        <v>2022</v>
      </c>
      <c r="C60" s="15">
        <v>360</v>
      </c>
      <c r="D60" s="13" t="s">
        <v>865</v>
      </c>
      <c r="E60" s="13" t="s">
        <v>755</v>
      </c>
      <c r="F60" s="13" t="s">
        <v>756</v>
      </c>
      <c r="G60" s="13" t="s">
        <v>757</v>
      </c>
      <c r="H60" s="13">
        <v>27</v>
      </c>
      <c r="I60" s="16">
        <v>385</v>
      </c>
      <c r="J60" s="16"/>
      <c r="K60" s="16"/>
      <c r="L60" s="16">
        <v>35</v>
      </c>
      <c r="M60" s="16">
        <v>1.2962962962962965</v>
      </c>
      <c r="N60" s="13"/>
      <c r="O60" s="13"/>
      <c r="P60" s="13"/>
      <c r="Q60" s="13"/>
      <c r="R60" s="13" t="s">
        <v>774</v>
      </c>
      <c r="S60" s="18" t="s">
        <v>2055</v>
      </c>
    </row>
    <row r="61" spans="1:19" ht="52.05" customHeight="1">
      <c r="A61" s="14" t="s">
        <v>57</v>
      </c>
      <c r="B61" s="13">
        <v>2023</v>
      </c>
      <c r="C61" s="15">
        <v>360</v>
      </c>
      <c r="D61" s="13" t="s">
        <v>895</v>
      </c>
      <c r="E61" s="13" t="s">
        <v>35</v>
      </c>
      <c r="F61" s="13" t="s">
        <v>896</v>
      </c>
      <c r="G61" s="13" t="s">
        <v>897</v>
      </c>
      <c r="H61" s="13">
        <v>16</v>
      </c>
      <c r="I61" s="16">
        <v>386</v>
      </c>
      <c r="J61" s="16"/>
      <c r="K61" s="16"/>
      <c r="L61" s="16">
        <v>22</v>
      </c>
      <c r="M61" s="16">
        <v>1.375</v>
      </c>
      <c r="N61" s="13"/>
      <c r="O61" s="13"/>
      <c r="P61" s="13"/>
      <c r="Q61" s="13"/>
      <c r="R61" s="13" t="s">
        <v>774</v>
      </c>
      <c r="S61" s="18" t="s">
        <v>2055</v>
      </c>
    </row>
    <row r="62" spans="1:19" ht="52.05" customHeight="1">
      <c r="A62" s="14" t="s">
        <v>57</v>
      </c>
      <c r="B62" s="13">
        <v>2024</v>
      </c>
      <c r="C62" s="15">
        <v>350</v>
      </c>
      <c r="D62" s="13" t="s">
        <v>868</v>
      </c>
      <c r="E62" s="13" t="s">
        <v>763</v>
      </c>
      <c r="F62" s="13" t="s">
        <v>898</v>
      </c>
      <c r="G62" s="13" t="s">
        <v>899</v>
      </c>
      <c r="H62" s="13">
        <v>19</v>
      </c>
      <c r="I62" s="16">
        <v>392</v>
      </c>
      <c r="J62" s="16">
        <v>401</v>
      </c>
      <c r="K62" s="16">
        <v>443</v>
      </c>
      <c r="L62" s="16">
        <v>23</v>
      </c>
      <c r="M62" s="16">
        <v>1.2105263157894737</v>
      </c>
      <c r="N62" s="13"/>
      <c r="O62" s="13"/>
      <c r="P62" s="13"/>
      <c r="Q62" s="13"/>
      <c r="R62" s="13" t="s">
        <v>774</v>
      </c>
      <c r="S62" s="18" t="s">
        <v>2056</v>
      </c>
    </row>
    <row r="63" spans="1:19" ht="52.05" customHeight="1">
      <c r="A63" s="14" t="s">
        <v>57</v>
      </c>
      <c r="B63" s="13">
        <v>2025</v>
      </c>
      <c r="C63" s="15">
        <v>330</v>
      </c>
      <c r="D63" s="13" t="s">
        <v>891</v>
      </c>
      <c r="E63" s="13" t="s">
        <v>763</v>
      </c>
      <c r="F63" s="13" t="s">
        <v>900</v>
      </c>
      <c r="G63" s="13" t="s">
        <v>901</v>
      </c>
      <c r="H63" s="13">
        <v>21</v>
      </c>
      <c r="I63" s="16">
        <v>352</v>
      </c>
      <c r="J63" s="16">
        <v>376</v>
      </c>
      <c r="K63" s="16">
        <v>430</v>
      </c>
      <c r="L63" s="16">
        <v>26</v>
      </c>
      <c r="M63" s="16">
        <v>1.2380952380952379</v>
      </c>
      <c r="N63" s="13"/>
      <c r="O63" s="13"/>
      <c r="P63" s="13"/>
      <c r="Q63" s="13"/>
      <c r="R63" s="13" t="s">
        <v>774</v>
      </c>
      <c r="S63" s="18" t="s">
        <v>2057</v>
      </c>
    </row>
    <row r="64" spans="1:19" ht="52.05" customHeight="1">
      <c r="A64" s="14" t="s">
        <v>57</v>
      </c>
      <c r="B64" s="13">
        <v>2026</v>
      </c>
      <c r="C64" s="15">
        <v>340</v>
      </c>
      <c r="D64" s="13" t="s">
        <v>836</v>
      </c>
      <c r="E64" s="13" t="s">
        <v>763</v>
      </c>
      <c r="F64" s="13" t="s">
        <v>902</v>
      </c>
      <c r="G64" s="13" t="s">
        <v>903</v>
      </c>
      <c r="H64" s="13">
        <v>26</v>
      </c>
      <c r="I64" s="16">
        <v>371</v>
      </c>
      <c r="J64" s="16">
        <v>403</v>
      </c>
      <c r="K64" s="16">
        <v>426</v>
      </c>
      <c r="L64" s="16">
        <v>33</v>
      </c>
      <c r="M64" s="16">
        <v>1.2692307692307692</v>
      </c>
      <c r="N64" s="13"/>
      <c r="O64" s="13"/>
      <c r="P64" s="13"/>
      <c r="Q64" s="13"/>
      <c r="R64" s="13" t="s">
        <v>774</v>
      </c>
      <c r="S64" s="18" t="s">
        <v>2058</v>
      </c>
    </row>
    <row r="65" spans="1:19" ht="52.05" customHeight="1">
      <c r="A65" s="14" t="s">
        <v>55</v>
      </c>
      <c r="B65" s="13">
        <v>2022</v>
      </c>
      <c r="C65" s="15">
        <v>360</v>
      </c>
      <c r="D65" s="13" t="s">
        <v>865</v>
      </c>
      <c r="E65" s="13" t="s">
        <v>755</v>
      </c>
      <c r="F65" s="13" t="s">
        <v>756</v>
      </c>
      <c r="G65" s="13" t="s">
        <v>757</v>
      </c>
      <c r="H65" s="13">
        <v>85</v>
      </c>
      <c r="I65" s="16"/>
      <c r="J65" s="16"/>
      <c r="K65" s="16"/>
      <c r="L65" s="16">
        <v>102</v>
      </c>
      <c r="M65" s="16">
        <v>1.2</v>
      </c>
      <c r="N65" s="13"/>
      <c r="O65" s="13"/>
      <c r="P65" s="13"/>
      <c r="Q65" s="13"/>
      <c r="R65" s="13" t="s">
        <v>774</v>
      </c>
      <c r="S65" s="18" t="s">
        <v>2082</v>
      </c>
    </row>
    <row r="66" spans="1:19" ht="52.05" customHeight="1">
      <c r="A66" s="14" t="s">
        <v>55</v>
      </c>
      <c r="B66" s="13">
        <v>2023</v>
      </c>
      <c r="C66" s="15">
        <v>385</v>
      </c>
      <c r="D66" s="13" t="s">
        <v>904</v>
      </c>
      <c r="E66" s="13" t="s">
        <v>905</v>
      </c>
      <c r="F66" s="13" t="s">
        <v>906</v>
      </c>
      <c r="G66" s="13" t="s">
        <v>907</v>
      </c>
      <c r="H66" s="13">
        <v>80</v>
      </c>
      <c r="I66" s="16">
        <v>386</v>
      </c>
      <c r="J66" s="16"/>
      <c r="K66" s="16"/>
      <c r="L66" s="16">
        <v>99</v>
      </c>
      <c r="M66" s="16">
        <v>1.2375</v>
      </c>
      <c r="N66" s="13"/>
      <c r="O66" s="13"/>
      <c r="P66" s="13"/>
      <c r="Q66" s="13"/>
      <c r="R66" s="13" t="s">
        <v>774</v>
      </c>
      <c r="S66" s="18" t="s">
        <v>2082</v>
      </c>
    </row>
    <row r="67" spans="1:19" ht="52.05" customHeight="1">
      <c r="A67" s="14" t="s">
        <v>55</v>
      </c>
      <c r="B67" s="13">
        <v>2024</v>
      </c>
      <c r="C67" s="15">
        <v>338</v>
      </c>
      <c r="D67" s="13" t="s">
        <v>908</v>
      </c>
      <c r="E67" s="13" t="s">
        <v>763</v>
      </c>
      <c r="F67" s="13" t="s">
        <v>909</v>
      </c>
      <c r="G67" s="13" t="s">
        <v>910</v>
      </c>
      <c r="H67" s="13">
        <v>64</v>
      </c>
      <c r="I67" s="16">
        <v>406</v>
      </c>
      <c r="J67" s="16"/>
      <c r="K67" s="16"/>
      <c r="L67" s="16">
        <v>78</v>
      </c>
      <c r="M67" s="16">
        <v>1.21875</v>
      </c>
      <c r="N67" s="13"/>
      <c r="O67" s="13"/>
      <c r="P67" s="13"/>
      <c r="Q67" s="13"/>
      <c r="R67" s="13" t="s">
        <v>774</v>
      </c>
      <c r="S67" s="18" t="s">
        <v>2082</v>
      </c>
    </row>
    <row r="68" spans="1:19" ht="52.05" customHeight="1">
      <c r="A68" s="14" t="s">
        <v>55</v>
      </c>
      <c r="B68" s="13">
        <v>2025</v>
      </c>
      <c r="C68" s="15">
        <v>323</v>
      </c>
      <c r="D68" s="13" t="s">
        <v>848</v>
      </c>
      <c r="E68" s="13" t="s">
        <v>763</v>
      </c>
      <c r="F68" s="13" t="s">
        <v>911</v>
      </c>
      <c r="G68" s="13" t="s">
        <v>912</v>
      </c>
      <c r="H68" s="13">
        <v>55</v>
      </c>
      <c r="I68" s="16">
        <v>361</v>
      </c>
      <c r="J68" s="16"/>
      <c r="K68" s="16"/>
      <c r="L68" s="16">
        <v>64</v>
      </c>
      <c r="M68" s="16">
        <v>1.1636363636363636</v>
      </c>
      <c r="N68" s="13"/>
      <c r="O68" s="13"/>
      <c r="P68" s="13"/>
      <c r="Q68" s="13"/>
      <c r="R68" s="13" t="s">
        <v>774</v>
      </c>
      <c r="S68" s="18" t="s">
        <v>2082</v>
      </c>
    </row>
    <row r="69" spans="1:19" ht="52.05" customHeight="1">
      <c r="A69" s="14" t="s">
        <v>55</v>
      </c>
      <c r="B69" s="13">
        <v>2026</v>
      </c>
      <c r="C69" s="15">
        <v>324</v>
      </c>
      <c r="D69" s="13" t="s">
        <v>851</v>
      </c>
      <c r="E69" s="13" t="s">
        <v>763</v>
      </c>
      <c r="F69" s="13" t="s">
        <v>913</v>
      </c>
      <c r="G69" s="13" t="s">
        <v>914</v>
      </c>
      <c r="H69" s="13">
        <v>71</v>
      </c>
      <c r="I69" s="16">
        <v>358</v>
      </c>
      <c r="J69" s="16">
        <v>390</v>
      </c>
      <c r="K69" s="16">
        <v>454</v>
      </c>
      <c r="L69" s="16">
        <v>88</v>
      </c>
      <c r="M69" s="16">
        <v>1.2394366197183098</v>
      </c>
      <c r="N69" s="13"/>
      <c r="O69" s="13"/>
      <c r="P69" s="13"/>
      <c r="Q69" s="13"/>
      <c r="R69" s="13" t="s">
        <v>774</v>
      </c>
      <c r="S69" s="18" t="s">
        <v>2083</v>
      </c>
    </row>
    <row r="70" spans="1:19" ht="52.05" customHeight="1">
      <c r="A70" s="14" t="s">
        <v>306</v>
      </c>
      <c r="B70" s="13">
        <v>2022</v>
      </c>
      <c r="C70" s="15">
        <v>378</v>
      </c>
      <c r="D70" s="13" t="s">
        <v>915</v>
      </c>
      <c r="E70" s="13" t="s">
        <v>755</v>
      </c>
      <c r="F70" s="13" t="s">
        <v>756</v>
      </c>
      <c r="G70" s="13" t="s">
        <v>757</v>
      </c>
      <c r="H70" s="13">
        <v>45</v>
      </c>
      <c r="I70" s="16"/>
      <c r="J70" s="16"/>
      <c r="K70" s="16"/>
      <c r="L70" s="16">
        <v>50</v>
      </c>
      <c r="M70" s="16">
        <v>1.1111111111111112</v>
      </c>
      <c r="N70" s="13"/>
      <c r="O70" s="13"/>
      <c r="P70" s="13"/>
      <c r="Q70" s="13"/>
      <c r="R70" s="13" t="s">
        <v>774</v>
      </c>
      <c r="S70" s="18" t="s">
        <v>1985</v>
      </c>
    </row>
    <row r="71" spans="1:19" ht="52.05" customHeight="1">
      <c r="A71" s="14" t="s">
        <v>306</v>
      </c>
      <c r="B71" s="13">
        <v>2023</v>
      </c>
      <c r="C71" s="15">
        <v>395</v>
      </c>
      <c r="D71" s="13" t="s">
        <v>916</v>
      </c>
      <c r="E71" s="13" t="s">
        <v>35</v>
      </c>
      <c r="F71" s="13" t="s">
        <v>917</v>
      </c>
      <c r="G71" s="13" t="s">
        <v>761</v>
      </c>
      <c r="H71" s="13">
        <v>40</v>
      </c>
      <c r="I71" s="16">
        <v>395</v>
      </c>
      <c r="J71" s="16"/>
      <c r="K71" s="16"/>
      <c r="L71" s="16">
        <v>44</v>
      </c>
      <c r="M71" s="16">
        <v>1.1000000000000001</v>
      </c>
      <c r="N71" s="13"/>
      <c r="O71" s="13"/>
      <c r="P71" s="13"/>
      <c r="Q71" s="13"/>
      <c r="R71" s="13" t="s">
        <v>774</v>
      </c>
      <c r="S71" s="18" t="s">
        <v>1985</v>
      </c>
    </row>
    <row r="72" spans="1:19" ht="52.05" customHeight="1">
      <c r="A72" s="14" t="s">
        <v>306</v>
      </c>
      <c r="B72" s="13">
        <v>2024</v>
      </c>
      <c r="C72" s="15">
        <v>338</v>
      </c>
      <c r="D72" s="13" t="s">
        <v>908</v>
      </c>
      <c r="E72" s="13" t="s">
        <v>763</v>
      </c>
      <c r="F72" s="13" t="s">
        <v>918</v>
      </c>
      <c r="G72" s="13" t="s">
        <v>919</v>
      </c>
      <c r="H72" s="13">
        <v>68</v>
      </c>
      <c r="I72" s="16">
        <v>353</v>
      </c>
      <c r="J72" s="16">
        <v>382</v>
      </c>
      <c r="K72" s="16">
        <v>422</v>
      </c>
      <c r="L72" s="16">
        <v>82</v>
      </c>
      <c r="M72" s="16">
        <v>1.2058823529411764</v>
      </c>
      <c r="N72" s="13"/>
      <c r="O72" s="13"/>
      <c r="P72" s="13"/>
      <c r="Q72" s="13"/>
      <c r="R72" s="13" t="s">
        <v>774</v>
      </c>
      <c r="S72" s="18" t="s">
        <v>1986</v>
      </c>
    </row>
    <row r="73" spans="1:19" ht="52.05" customHeight="1">
      <c r="A73" s="14" t="s">
        <v>306</v>
      </c>
      <c r="B73" s="13">
        <v>2025</v>
      </c>
      <c r="C73" s="15">
        <v>323</v>
      </c>
      <c r="D73" s="13" t="s">
        <v>848</v>
      </c>
      <c r="E73" s="13" t="s">
        <v>763</v>
      </c>
      <c r="F73" s="13" t="s">
        <v>920</v>
      </c>
      <c r="G73" s="13" t="s">
        <v>921</v>
      </c>
      <c r="H73" s="13">
        <v>65</v>
      </c>
      <c r="I73" s="16">
        <v>360</v>
      </c>
      <c r="J73" s="16"/>
      <c r="K73" s="16"/>
      <c r="L73" s="16">
        <v>76</v>
      </c>
      <c r="M73" s="16">
        <v>1.1692307692307693</v>
      </c>
      <c r="N73" s="13"/>
      <c r="O73" s="13"/>
      <c r="P73" s="13"/>
      <c r="Q73" s="13"/>
      <c r="R73" s="13" t="s">
        <v>774</v>
      </c>
      <c r="S73" s="18" t="s">
        <v>1985</v>
      </c>
    </row>
    <row r="74" spans="1:19" ht="52.05" customHeight="1">
      <c r="A74" s="14" t="s">
        <v>306</v>
      </c>
      <c r="B74" s="13">
        <v>2026</v>
      </c>
      <c r="C74" s="15">
        <v>392</v>
      </c>
      <c r="D74" s="13" t="s">
        <v>922</v>
      </c>
      <c r="E74" s="13" t="s">
        <v>35</v>
      </c>
      <c r="F74" s="13" t="s">
        <v>923</v>
      </c>
      <c r="G74" s="13" t="s">
        <v>924</v>
      </c>
      <c r="H74" s="13">
        <v>62</v>
      </c>
      <c r="I74" s="16">
        <v>392</v>
      </c>
      <c r="J74" s="16">
        <v>407</v>
      </c>
      <c r="K74" s="16">
        <v>439</v>
      </c>
      <c r="L74" s="16">
        <v>72</v>
      </c>
      <c r="M74" s="16">
        <v>1.1612903225806452</v>
      </c>
      <c r="N74" s="13"/>
      <c r="O74" s="13"/>
      <c r="P74" s="13"/>
      <c r="Q74" s="13"/>
      <c r="R74" s="13" t="s">
        <v>774</v>
      </c>
      <c r="S74" s="18" t="s">
        <v>1987</v>
      </c>
    </row>
    <row r="75" spans="1:19" ht="52.05" customHeight="1">
      <c r="A75" s="14" t="s">
        <v>56</v>
      </c>
      <c r="B75" s="13">
        <v>2022</v>
      </c>
      <c r="C75" s="15">
        <v>390</v>
      </c>
      <c r="D75" s="13" t="s">
        <v>812</v>
      </c>
      <c r="E75" s="13" t="s">
        <v>755</v>
      </c>
      <c r="F75" s="13" t="s">
        <v>756</v>
      </c>
      <c r="G75" s="13" t="s">
        <v>757</v>
      </c>
      <c r="H75" s="13">
        <v>23</v>
      </c>
      <c r="I75" s="16"/>
      <c r="J75" s="16"/>
      <c r="K75" s="16"/>
      <c r="L75" s="16">
        <v>31</v>
      </c>
      <c r="M75" s="16">
        <v>1.3478260869565215</v>
      </c>
      <c r="N75" s="13"/>
      <c r="O75" s="13"/>
      <c r="P75" s="13"/>
      <c r="Q75" s="13"/>
      <c r="R75" s="13" t="s">
        <v>774</v>
      </c>
      <c r="S75" s="18" t="s">
        <v>2062</v>
      </c>
    </row>
    <row r="76" spans="1:19" ht="52.05" customHeight="1">
      <c r="A76" s="14" t="s">
        <v>56</v>
      </c>
      <c r="B76" s="13">
        <v>2023</v>
      </c>
      <c r="C76" s="15">
        <v>360</v>
      </c>
      <c r="D76" s="13" t="s">
        <v>925</v>
      </c>
      <c r="E76" s="13" t="s">
        <v>35</v>
      </c>
      <c r="F76" s="13" t="s">
        <v>926</v>
      </c>
      <c r="G76" s="13" t="s">
        <v>761</v>
      </c>
      <c r="H76" s="13">
        <v>36</v>
      </c>
      <c r="I76" s="16">
        <v>362</v>
      </c>
      <c r="J76" s="16"/>
      <c r="K76" s="16"/>
      <c r="L76" s="16">
        <v>48</v>
      </c>
      <c r="M76" s="16">
        <v>1.3333333333333333</v>
      </c>
      <c r="N76" s="13"/>
      <c r="O76" s="13"/>
      <c r="P76" s="13"/>
      <c r="Q76" s="13"/>
      <c r="R76" s="13" t="s">
        <v>774</v>
      </c>
      <c r="S76" s="18" t="s">
        <v>2062</v>
      </c>
    </row>
    <row r="77" spans="1:19" ht="52.05" customHeight="1">
      <c r="A77" s="14" t="s">
        <v>56</v>
      </c>
      <c r="B77" s="13">
        <v>2024</v>
      </c>
      <c r="C77" s="15">
        <v>360</v>
      </c>
      <c r="D77" s="13" t="s">
        <v>873</v>
      </c>
      <c r="E77" s="13" t="s">
        <v>763</v>
      </c>
      <c r="F77" s="13" t="s">
        <v>927</v>
      </c>
      <c r="G77" s="13" t="s">
        <v>928</v>
      </c>
      <c r="H77" s="13">
        <v>43</v>
      </c>
      <c r="I77" s="16">
        <v>367</v>
      </c>
      <c r="J77" s="16"/>
      <c r="K77" s="16"/>
      <c r="L77" s="16">
        <v>59</v>
      </c>
      <c r="M77" s="16">
        <v>1.3720930232558139</v>
      </c>
      <c r="N77" s="13"/>
      <c r="O77" s="13"/>
      <c r="P77" s="13"/>
      <c r="Q77" s="13"/>
      <c r="R77" s="13" t="s">
        <v>774</v>
      </c>
      <c r="S77" s="18" t="s">
        <v>2062</v>
      </c>
    </row>
    <row r="78" spans="1:19" ht="52.05" customHeight="1">
      <c r="A78" s="14" t="s">
        <v>56</v>
      </c>
      <c r="B78" s="13">
        <v>2025</v>
      </c>
      <c r="C78" s="15">
        <v>350</v>
      </c>
      <c r="D78" s="13" t="s">
        <v>868</v>
      </c>
      <c r="E78" s="13" t="s">
        <v>763</v>
      </c>
      <c r="F78" s="13" t="s">
        <v>929</v>
      </c>
      <c r="G78" s="13" t="s">
        <v>930</v>
      </c>
      <c r="H78" s="13">
        <v>42</v>
      </c>
      <c r="I78" s="16">
        <v>366</v>
      </c>
      <c r="J78" s="16"/>
      <c r="K78" s="16"/>
      <c r="L78" s="16">
        <v>55</v>
      </c>
      <c r="M78" s="16">
        <v>1.5</v>
      </c>
      <c r="N78" s="13"/>
      <c r="O78" s="13"/>
      <c r="P78" s="13"/>
      <c r="Q78" s="13"/>
      <c r="R78" s="13" t="s">
        <v>758</v>
      </c>
      <c r="S78" s="18" t="s">
        <v>2063</v>
      </c>
    </row>
    <row r="79" spans="1:19" ht="52.05" customHeight="1">
      <c r="A79" s="14" t="s">
        <v>56</v>
      </c>
      <c r="B79" s="13">
        <v>2026</v>
      </c>
      <c r="C79" s="15">
        <v>330</v>
      </c>
      <c r="D79" s="13" t="s">
        <v>891</v>
      </c>
      <c r="E79" s="13" t="s">
        <v>763</v>
      </c>
      <c r="F79" s="13" t="s">
        <v>931</v>
      </c>
      <c r="G79" s="13" t="s">
        <v>932</v>
      </c>
      <c r="H79" s="13">
        <v>50</v>
      </c>
      <c r="I79" s="16">
        <v>400</v>
      </c>
      <c r="J79" s="16">
        <v>419</v>
      </c>
      <c r="K79" s="16">
        <v>444</v>
      </c>
      <c r="L79" s="16">
        <v>62</v>
      </c>
      <c r="M79" s="16">
        <v>1.24</v>
      </c>
      <c r="N79" s="13"/>
      <c r="O79" s="13"/>
      <c r="P79" s="13"/>
      <c r="Q79" s="13"/>
      <c r="R79" s="13" t="s">
        <v>774</v>
      </c>
      <c r="S79" s="18" t="s">
        <v>2064</v>
      </c>
    </row>
    <row r="80" spans="1:19" ht="52.05" customHeight="1">
      <c r="A80" s="14" t="s">
        <v>320</v>
      </c>
      <c r="B80" s="13">
        <v>2022</v>
      </c>
      <c r="C80" s="15">
        <v>400</v>
      </c>
      <c r="D80" s="13" t="s">
        <v>788</v>
      </c>
      <c r="E80" s="13" t="s">
        <v>755</v>
      </c>
      <c r="F80" s="13" t="s">
        <v>756</v>
      </c>
      <c r="G80" s="13" t="s">
        <v>757</v>
      </c>
      <c r="H80" s="13">
        <v>45</v>
      </c>
      <c r="I80" s="16"/>
      <c r="J80" s="16"/>
      <c r="K80" s="16"/>
      <c r="L80" s="16">
        <v>58</v>
      </c>
      <c r="M80" s="16">
        <v>1.288888888888889</v>
      </c>
      <c r="N80" s="13"/>
      <c r="O80" s="13"/>
      <c r="P80" s="13"/>
      <c r="Q80" s="13"/>
      <c r="R80" s="13" t="s">
        <v>774</v>
      </c>
      <c r="S80" s="18" t="s">
        <v>2084</v>
      </c>
    </row>
    <row r="81" spans="1:19" ht="52.05" customHeight="1">
      <c r="A81" s="14" t="s">
        <v>320</v>
      </c>
      <c r="B81" s="13">
        <v>2023</v>
      </c>
      <c r="C81" s="15">
        <v>371</v>
      </c>
      <c r="D81" s="13" t="s">
        <v>933</v>
      </c>
      <c r="E81" s="13" t="s">
        <v>934</v>
      </c>
      <c r="F81" s="13" t="s">
        <v>935</v>
      </c>
      <c r="G81" s="13" t="s">
        <v>761</v>
      </c>
      <c r="H81" s="13">
        <v>50</v>
      </c>
      <c r="I81" s="16">
        <v>371</v>
      </c>
      <c r="J81" s="16"/>
      <c r="K81" s="16"/>
      <c r="L81" s="16">
        <v>59</v>
      </c>
      <c r="M81" s="16">
        <v>1.18</v>
      </c>
      <c r="N81" s="13"/>
      <c r="O81" s="13"/>
      <c r="P81" s="13"/>
      <c r="Q81" s="13"/>
      <c r="R81" s="13" t="s">
        <v>774</v>
      </c>
      <c r="S81" s="18" t="s">
        <v>2084</v>
      </c>
    </row>
    <row r="82" spans="1:19" ht="52.05" customHeight="1">
      <c r="A82" s="14" t="s">
        <v>320</v>
      </c>
      <c r="B82" s="13">
        <v>2024</v>
      </c>
      <c r="C82" s="15">
        <v>338</v>
      </c>
      <c r="D82" s="13" t="s">
        <v>908</v>
      </c>
      <c r="E82" s="13" t="s">
        <v>763</v>
      </c>
      <c r="F82" s="13" t="s">
        <v>936</v>
      </c>
      <c r="G82" s="13" t="s">
        <v>937</v>
      </c>
      <c r="H82" s="13">
        <v>53</v>
      </c>
      <c r="I82" s="16">
        <v>385</v>
      </c>
      <c r="J82" s="16"/>
      <c r="K82" s="16"/>
      <c r="L82" s="16">
        <v>66</v>
      </c>
      <c r="M82" s="16">
        <v>1.2452830188679245</v>
      </c>
      <c r="N82" s="13"/>
      <c r="O82" s="13"/>
      <c r="P82" s="13"/>
      <c r="Q82" s="13"/>
      <c r="R82" s="13" t="s">
        <v>774</v>
      </c>
      <c r="S82" s="18" t="s">
        <v>2084</v>
      </c>
    </row>
    <row r="83" spans="1:19" ht="52.05" customHeight="1">
      <c r="A83" s="14" t="s">
        <v>320</v>
      </c>
      <c r="B83" s="13">
        <v>2025</v>
      </c>
      <c r="C83" s="15">
        <v>323</v>
      </c>
      <c r="D83" s="13" t="s">
        <v>848</v>
      </c>
      <c r="E83" s="13" t="s">
        <v>763</v>
      </c>
      <c r="F83" s="13" t="s">
        <v>938</v>
      </c>
      <c r="G83" s="13" t="s">
        <v>939</v>
      </c>
      <c r="H83" s="13">
        <v>59</v>
      </c>
      <c r="I83" s="16">
        <v>343</v>
      </c>
      <c r="J83" s="16"/>
      <c r="K83" s="16"/>
      <c r="L83" s="16">
        <v>76</v>
      </c>
      <c r="M83" s="16">
        <v>1.2881355932203389</v>
      </c>
      <c r="N83" s="13"/>
      <c r="O83" s="13"/>
      <c r="P83" s="13"/>
      <c r="Q83" s="13"/>
      <c r="R83" s="13" t="s">
        <v>774</v>
      </c>
      <c r="S83" s="18" t="s">
        <v>2084</v>
      </c>
    </row>
    <row r="84" spans="1:19" ht="52.05" customHeight="1">
      <c r="A84" s="14" t="s">
        <v>320</v>
      </c>
      <c r="B84" s="13">
        <v>2026</v>
      </c>
      <c r="C84" s="15">
        <v>324</v>
      </c>
      <c r="D84" s="13" t="s">
        <v>851</v>
      </c>
      <c r="E84" s="13" t="s">
        <v>763</v>
      </c>
      <c r="F84" s="13" t="s">
        <v>940</v>
      </c>
      <c r="G84" s="13" t="s">
        <v>941</v>
      </c>
      <c r="H84" s="13">
        <v>62</v>
      </c>
      <c r="I84" s="16">
        <v>369</v>
      </c>
      <c r="J84" s="16">
        <v>393</v>
      </c>
      <c r="K84" s="16">
        <v>432</v>
      </c>
      <c r="L84" s="16">
        <v>85</v>
      </c>
      <c r="M84" s="16">
        <v>1.3709677419354838</v>
      </c>
      <c r="N84" s="13"/>
      <c r="O84" s="13"/>
      <c r="P84" s="13"/>
      <c r="Q84" s="13"/>
      <c r="R84" s="13" t="s">
        <v>774</v>
      </c>
      <c r="S84" s="18" t="s">
        <v>2085</v>
      </c>
    </row>
    <row r="85" spans="1:19" ht="52.05" customHeight="1">
      <c r="A85" s="14" t="s">
        <v>326</v>
      </c>
      <c r="B85" s="13">
        <v>2022</v>
      </c>
      <c r="C85" s="15">
        <v>385</v>
      </c>
      <c r="D85" s="13" t="s">
        <v>942</v>
      </c>
      <c r="E85" s="13" t="s">
        <v>755</v>
      </c>
      <c r="F85" s="13" t="s">
        <v>756</v>
      </c>
      <c r="G85" s="13" t="s">
        <v>757</v>
      </c>
      <c r="H85" s="13">
        <v>5</v>
      </c>
      <c r="I85" s="16"/>
      <c r="J85" s="16">
        <v>415</v>
      </c>
      <c r="K85" s="16">
        <v>432</v>
      </c>
      <c r="L85" s="16">
        <v>9</v>
      </c>
      <c r="M85" s="16">
        <v>1.8</v>
      </c>
      <c r="N85" s="13"/>
      <c r="O85" s="13"/>
      <c r="P85" s="13"/>
      <c r="Q85" s="13"/>
      <c r="R85" s="13" t="s">
        <v>774</v>
      </c>
      <c r="S85" s="18" t="s">
        <v>2003</v>
      </c>
    </row>
    <row r="86" spans="1:19" ht="52.05" customHeight="1">
      <c r="A86" s="14" t="s">
        <v>326</v>
      </c>
      <c r="B86" s="13">
        <v>2023</v>
      </c>
      <c r="C86" s="15">
        <v>375</v>
      </c>
      <c r="D86" s="13" t="s">
        <v>943</v>
      </c>
      <c r="E86" s="13" t="s">
        <v>35</v>
      </c>
      <c r="F86" s="13" t="s">
        <v>944</v>
      </c>
      <c r="G86" s="13" t="s">
        <v>761</v>
      </c>
      <c r="H86" s="13">
        <v>11</v>
      </c>
      <c r="I86" s="16">
        <v>386</v>
      </c>
      <c r="J86" s="16">
        <v>400</v>
      </c>
      <c r="K86" s="16">
        <v>437</v>
      </c>
      <c r="L86" s="16">
        <v>14</v>
      </c>
      <c r="M86" s="16">
        <v>1.2727272727272727</v>
      </c>
      <c r="N86" s="13"/>
      <c r="O86" s="13"/>
      <c r="P86" s="13"/>
      <c r="Q86" s="13"/>
      <c r="R86" s="13" t="s">
        <v>774</v>
      </c>
      <c r="S86" s="18" t="s">
        <v>2004</v>
      </c>
    </row>
    <row r="87" spans="1:19" ht="52.05" customHeight="1">
      <c r="A87" s="14" t="s">
        <v>326</v>
      </c>
      <c r="B87" s="13">
        <v>2024</v>
      </c>
      <c r="C87" s="15">
        <v>365</v>
      </c>
      <c r="D87" s="13" t="s">
        <v>878</v>
      </c>
      <c r="E87" s="13" t="s">
        <v>763</v>
      </c>
      <c r="F87" s="13" t="s">
        <v>945</v>
      </c>
      <c r="G87" s="13" t="s">
        <v>946</v>
      </c>
      <c r="H87" s="13">
        <v>12</v>
      </c>
      <c r="I87" s="16">
        <v>387</v>
      </c>
      <c r="J87" s="16">
        <v>412</v>
      </c>
      <c r="K87" s="16">
        <v>434</v>
      </c>
      <c r="L87" s="16">
        <v>18</v>
      </c>
      <c r="M87" s="16">
        <v>1.5</v>
      </c>
      <c r="N87" s="13"/>
      <c r="O87" s="13"/>
      <c r="P87" s="13"/>
      <c r="Q87" s="13"/>
      <c r="R87" s="13" t="s">
        <v>774</v>
      </c>
      <c r="S87" s="18" t="s">
        <v>2005</v>
      </c>
    </row>
    <row r="88" spans="1:19" ht="52.05" customHeight="1">
      <c r="A88" s="14" t="s">
        <v>326</v>
      </c>
      <c r="B88" s="13">
        <v>2025</v>
      </c>
      <c r="C88" s="15">
        <v>335</v>
      </c>
      <c r="D88" s="13" t="s">
        <v>947</v>
      </c>
      <c r="E88" s="13" t="s">
        <v>763</v>
      </c>
      <c r="F88" s="13" t="s">
        <v>948</v>
      </c>
      <c r="G88" s="13" t="s">
        <v>949</v>
      </c>
      <c r="H88" s="13">
        <v>15</v>
      </c>
      <c r="I88" s="16">
        <v>352</v>
      </c>
      <c r="J88" s="16"/>
      <c r="K88" s="16"/>
      <c r="L88" s="16">
        <v>16</v>
      </c>
      <c r="M88" s="16">
        <v>1.0666666666666669</v>
      </c>
      <c r="N88" s="13"/>
      <c r="O88" s="13"/>
      <c r="P88" s="13"/>
      <c r="Q88" s="13"/>
      <c r="R88" s="13" t="s">
        <v>774</v>
      </c>
      <c r="S88" s="18" t="s">
        <v>2006</v>
      </c>
    </row>
    <row r="89" spans="1:19" ht="52.05" customHeight="1">
      <c r="A89" s="14" t="s">
        <v>326</v>
      </c>
      <c r="B89" s="13">
        <v>2026</v>
      </c>
      <c r="C89" s="15">
        <v>380</v>
      </c>
      <c r="D89" s="13" t="s">
        <v>766</v>
      </c>
      <c r="E89" s="13" t="s">
        <v>763</v>
      </c>
      <c r="F89" s="13" t="s">
        <v>950</v>
      </c>
      <c r="G89" s="13" t="s">
        <v>951</v>
      </c>
      <c r="H89" s="13">
        <v>19</v>
      </c>
      <c r="I89" s="16">
        <v>397</v>
      </c>
      <c r="J89" s="16">
        <v>413</v>
      </c>
      <c r="K89" s="16">
        <v>442</v>
      </c>
      <c r="L89" s="16">
        <v>22</v>
      </c>
      <c r="M89" s="16">
        <v>1.1578947368421053</v>
      </c>
      <c r="N89" s="13"/>
      <c r="O89" s="13"/>
      <c r="P89" s="13"/>
      <c r="Q89" s="13"/>
      <c r="R89" s="13" t="s">
        <v>774</v>
      </c>
      <c r="S89" s="18" t="s">
        <v>2007</v>
      </c>
    </row>
    <row r="90" spans="1:19" ht="52.05" customHeight="1">
      <c r="A90" s="14" t="s">
        <v>331</v>
      </c>
      <c r="B90" s="13">
        <v>2022</v>
      </c>
      <c r="C90" s="15"/>
      <c r="D90" s="13" t="s">
        <v>952</v>
      </c>
      <c r="E90" s="13" t="s">
        <v>755</v>
      </c>
      <c r="F90" s="13" t="s">
        <v>952</v>
      </c>
      <c r="G90" s="13" t="s">
        <v>757</v>
      </c>
      <c r="H90" s="13"/>
      <c r="I90" s="16"/>
      <c r="J90" s="16"/>
      <c r="K90" s="16"/>
      <c r="L90" s="16"/>
      <c r="M90" s="16"/>
      <c r="N90" s="13"/>
      <c r="O90" s="13"/>
      <c r="P90" s="13"/>
      <c r="Q90" s="13"/>
      <c r="R90" s="13" t="s">
        <v>774</v>
      </c>
      <c r="S90" s="18" t="s">
        <v>2039</v>
      </c>
    </row>
    <row r="91" spans="1:19" ht="52.05" customHeight="1">
      <c r="A91" s="14" t="s">
        <v>331</v>
      </c>
      <c r="B91" s="13">
        <v>2023</v>
      </c>
      <c r="C91" s="15">
        <v>350</v>
      </c>
      <c r="D91" s="13" t="s">
        <v>953</v>
      </c>
      <c r="E91" s="13" t="s">
        <v>35</v>
      </c>
      <c r="F91" s="13" t="s">
        <v>954</v>
      </c>
      <c r="G91" s="13" t="s">
        <v>761</v>
      </c>
      <c r="H91" s="13">
        <v>5</v>
      </c>
      <c r="I91" s="16">
        <v>351</v>
      </c>
      <c r="J91" s="16"/>
      <c r="K91" s="16"/>
      <c r="L91" s="16">
        <v>5</v>
      </c>
      <c r="M91" s="16">
        <v>1</v>
      </c>
      <c r="N91" s="13"/>
      <c r="O91" s="13"/>
      <c r="P91" s="13"/>
      <c r="Q91" s="13"/>
      <c r="R91" s="13" t="s">
        <v>774</v>
      </c>
      <c r="S91" s="18" t="s">
        <v>2039</v>
      </c>
    </row>
    <row r="92" spans="1:19" ht="52.05" customHeight="1">
      <c r="A92" s="14" t="s">
        <v>331</v>
      </c>
      <c r="B92" s="13">
        <v>2024</v>
      </c>
      <c r="C92" s="15">
        <v>360</v>
      </c>
      <c r="D92" s="13" t="s">
        <v>873</v>
      </c>
      <c r="E92" s="13" t="s">
        <v>763</v>
      </c>
      <c r="F92" s="13" t="s">
        <v>955</v>
      </c>
      <c r="G92" s="13" t="s">
        <v>956</v>
      </c>
      <c r="H92" s="13">
        <v>4</v>
      </c>
      <c r="I92" s="16">
        <v>371</v>
      </c>
      <c r="J92" s="16">
        <v>386.5</v>
      </c>
      <c r="K92" s="16">
        <v>427</v>
      </c>
      <c r="L92" s="16">
        <v>6</v>
      </c>
      <c r="M92" s="16">
        <v>1.5</v>
      </c>
      <c r="N92" s="13"/>
      <c r="O92" s="13"/>
      <c r="P92" s="13"/>
      <c r="Q92" s="13"/>
      <c r="R92" s="13" t="s">
        <v>774</v>
      </c>
      <c r="S92" s="18" t="s">
        <v>2040</v>
      </c>
    </row>
    <row r="93" spans="1:19" ht="52.05" customHeight="1">
      <c r="A93" s="14" t="s">
        <v>331</v>
      </c>
      <c r="B93" s="13">
        <v>2025</v>
      </c>
      <c r="C93" s="15">
        <v>350</v>
      </c>
      <c r="D93" s="13" t="s">
        <v>868</v>
      </c>
      <c r="E93" s="13" t="s">
        <v>763</v>
      </c>
      <c r="F93" s="13" t="s">
        <v>957</v>
      </c>
      <c r="G93" s="13" t="s">
        <v>958</v>
      </c>
      <c r="H93" s="13">
        <v>5</v>
      </c>
      <c r="I93" s="16">
        <v>350</v>
      </c>
      <c r="J93" s="16">
        <v>380</v>
      </c>
      <c r="K93" s="16">
        <v>393</v>
      </c>
      <c r="L93" s="16">
        <v>5</v>
      </c>
      <c r="M93" s="16">
        <v>1</v>
      </c>
      <c r="N93" s="13"/>
      <c r="O93" s="13"/>
      <c r="P93" s="13"/>
      <c r="Q93" s="13"/>
      <c r="R93" s="13" t="s">
        <v>774</v>
      </c>
      <c r="S93" s="18" t="s">
        <v>2041</v>
      </c>
    </row>
    <row r="94" spans="1:19" ht="52.05" customHeight="1">
      <c r="A94" s="14" t="s">
        <v>331</v>
      </c>
      <c r="B94" s="13">
        <v>2026</v>
      </c>
      <c r="C94" s="15">
        <v>350</v>
      </c>
      <c r="D94" s="13" t="s">
        <v>868</v>
      </c>
      <c r="E94" s="13" t="s">
        <v>763</v>
      </c>
      <c r="F94" s="13" t="s">
        <v>957</v>
      </c>
      <c r="G94" s="13" t="s">
        <v>959</v>
      </c>
      <c r="H94" s="13">
        <v>4</v>
      </c>
      <c r="I94" s="16">
        <v>357</v>
      </c>
      <c r="J94" s="16">
        <v>361</v>
      </c>
      <c r="K94" s="16">
        <v>394</v>
      </c>
      <c r="L94" s="16"/>
      <c r="M94" s="16"/>
      <c r="N94" s="13"/>
      <c r="O94" s="13"/>
      <c r="P94" s="13"/>
      <c r="Q94" s="13"/>
      <c r="R94" s="13" t="s">
        <v>774</v>
      </c>
      <c r="S94" s="18" t="s">
        <v>2042</v>
      </c>
    </row>
    <row r="95" spans="1:19" ht="52.05" customHeight="1">
      <c r="A95" s="14" t="s">
        <v>338</v>
      </c>
      <c r="B95" s="13">
        <v>2022</v>
      </c>
      <c r="C95" s="15">
        <v>370</v>
      </c>
      <c r="D95" s="13" t="s">
        <v>884</v>
      </c>
      <c r="E95" s="13" t="s">
        <v>755</v>
      </c>
      <c r="F95" s="13" t="s">
        <v>756</v>
      </c>
      <c r="G95" s="13" t="s">
        <v>757</v>
      </c>
      <c r="H95" s="13">
        <v>60</v>
      </c>
      <c r="I95" s="16"/>
      <c r="J95" s="16"/>
      <c r="K95" s="16"/>
      <c r="L95" s="16">
        <v>71</v>
      </c>
      <c r="M95" s="16">
        <v>1.1833333333333331</v>
      </c>
      <c r="N95" s="13"/>
      <c r="O95" s="13"/>
      <c r="P95" s="13"/>
      <c r="Q95" s="13"/>
      <c r="R95" s="13" t="s">
        <v>774</v>
      </c>
      <c r="S95" s="18" t="s">
        <v>2088</v>
      </c>
    </row>
    <row r="96" spans="1:19" ht="52.05" customHeight="1">
      <c r="A96" s="14" t="s">
        <v>338</v>
      </c>
      <c r="B96" s="13">
        <v>2023</v>
      </c>
      <c r="C96" s="15">
        <v>370</v>
      </c>
      <c r="D96" s="18" t="s">
        <v>2089</v>
      </c>
      <c r="E96" s="18" t="s">
        <v>2078</v>
      </c>
      <c r="F96" s="13" t="s">
        <v>843</v>
      </c>
      <c r="G96" s="13" t="s">
        <v>761</v>
      </c>
      <c r="H96" s="13">
        <v>70</v>
      </c>
      <c r="I96" s="16">
        <v>370</v>
      </c>
      <c r="J96" s="16"/>
      <c r="K96" s="16"/>
      <c r="L96" s="16">
        <v>84</v>
      </c>
      <c r="M96" s="16">
        <v>1.2</v>
      </c>
      <c r="N96" s="13"/>
      <c r="O96" s="13"/>
      <c r="P96" s="13"/>
      <c r="Q96" s="13"/>
      <c r="R96" s="13" t="s">
        <v>774</v>
      </c>
      <c r="S96" s="18" t="s">
        <v>2088</v>
      </c>
    </row>
    <row r="97" spans="1:19" ht="52.05" customHeight="1">
      <c r="A97" s="14" t="s">
        <v>338</v>
      </c>
      <c r="B97" s="13">
        <v>2024</v>
      </c>
      <c r="C97" s="15">
        <v>338</v>
      </c>
      <c r="D97" s="13" t="s">
        <v>908</v>
      </c>
      <c r="E97" s="13" t="s">
        <v>763</v>
      </c>
      <c r="F97" s="13" t="s">
        <v>960</v>
      </c>
      <c r="G97" s="13" t="s">
        <v>961</v>
      </c>
      <c r="H97" s="13">
        <v>61</v>
      </c>
      <c r="I97" s="16">
        <v>381</v>
      </c>
      <c r="J97" s="16"/>
      <c r="K97" s="16"/>
      <c r="L97" s="16">
        <v>73</v>
      </c>
      <c r="M97" s="16">
        <v>1.1967213114754098</v>
      </c>
      <c r="N97" s="13"/>
      <c r="O97" s="13"/>
      <c r="P97" s="13"/>
      <c r="Q97" s="13"/>
      <c r="R97" s="13" t="s">
        <v>774</v>
      </c>
      <c r="S97" s="18" t="s">
        <v>2088</v>
      </c>
    </row>
    <row r="98" spans="1:19" ht="52.05" customHeight="1">
      <c r="A98" s="14" t="s">
        <v>338</v>
      </c>
      <c r="B98" s="13">
        <v>2025</v>
      </c>
      <c r="C98" s="15">
        <v>323</v>
      </c>
      <c r="D98" s="13" t="s">
        <v>848</v>
      </c>
      <c r="E98" s="13" t="s">
        <v>763</v>
      </c>
      <c r="F98" s="13" t="s">
        <v>962</v>
      </c>
      <c r="G98" s="13" t="s">
        <v>963</v>
      </c>
      <c r="H98" s="13">
        <v>69</v>
      </c>
      <c r="I98" s="16">
        <v>364</v>
      </c>
      <c r="J98" s="16"/>
      <c r="K98" s="16"/>
      <c r="L98" s="16">
        <v>83</v>
      </c>
      <c r="M98" s="16">
        <v>1.2028985507246377</v>
      </c>
      <c r="N98" s="13"/>
      <c r="O98" s="13"/>
      <c r="P98" s="13"/>
      <c r="Q98" s="13"/>
      <c r="R98" s="13" t="s">
        <v>774</v>
      </c>
      <c r="S98" s="18" t="s">
        <v>2088</v>
      </c>
    </row>
    <row r="99" spans="1:19" ht="52.05" customHeight="1">
      <c r="A99" s="14" t="s">
        <v>338</v>
      </c>
      <c r="B99" s="13">
        <v>2026</v>
      </c>
      <c r="C99" s="15">
        <v>324</v>
      </c>
      <c r="D99" s="13" t="s">
        <v>851</v>
      </c>
      <c r="E99" s="13" t="s">
        <v>763</v>
      </c>
      <c r="F99" s="13" t="s">
        <v>964</v>
      </c>
      <c r="G99" s="13" t="s">
        <v>965</v>
      </c>
      <c r="H99" s="13">
        <v>60</v>
      </c>
      <c r="I99" s="16">
        <v>373</v>
      </c>
      <c r="J99" s="16">
        <v>390</v>
      </c>
      <c r="K99" s="16">
        <v>425</v>
      </c>
      <c r="L99" s="16">
        <v>72</v>
      </c>
      <c r="M99" s="16">
        <v>1.2</v>
      </c>
      <c r="N99" s="13"/>
      <c r="O99" s="13"/>
      <c r="P99" s="13"/>
      <c r="Q99" s="13"/>
      <c r="R99" s="13" t="s">
        <v>774</v>
      </c>
      <c r="S99" s="18" t="s">
        <v>2090</v>
      </c>
    </row>
    <row r="100" spans="1:19" ht="52.05" customHeight="1">
      <c r="A100" s="14" t="s">
        <v>344</v>
      </c>
      <c r="B100" s="13">
        <v>2022</v>
      </c>
      <c r="C100" s="15">
        <v>360</v>
      </c>
      <c r="D100" s="13" t="s">
        <v>865</v>
      </c>
      <c r="E100" s="13" t="s">
        <v>755</v>
      </c>
      <c r="F100" s="13" t="s">
        <v>756</v>
      </c>
      <c r="G100" s="13" t="s">
        <v>757</v>
      </c>
      <c r="H100" s="13"/>
      <c r="I100" s="16"/>
      <c r="J100" s="16"/>
      <c r="K100" s="16"/>
      <c r="L100" s="16"/>
      <c r="M100" s="16"/>
      <c r="N100" s="13"/>
      <c r="O100" s="13"/>
      <c r="P100" s="13"/>
      <c r="Q100" s="13"/>
      <c r="R100" s="13" t="s">
        <v>774</v>
      </c>
      <c r="S100" s="18" t="s">
        <v>2091</v>
      </c>
    </row>
    <row r="101" spans="1:19" ht="52.05" customHeight="1">
      <c r="A101" s="14" t="s">
        <v>344</v>
      </c>
      <c r="B101" s="13">
        <v>2023</v>
      </c>
      <c r="C101" s="15">
        <v>346</v>
      </c>
      <c r="D101" s="13" t="s">
        <v>966</v>
      </c>
      <c r="E101" s="13" t="s">
        <v>35</v>
      </c>
      <c r="F101" s="13" t="s">
        <v>967</v>
      </c>
      <c r="G101" s="13" t="s">
        <v>761</v>
      </c>
      <c r="H101" s="13"/>
      <c r="I101" s="16"/>
      <c r="J101" s="16"/>
      <c r="K101" s="16"/>
      <c r="L101" s="16"/>
      <c r="M101" s="16"/>
      <c r="N101" s="13"/>
      <c r="O101" s="13"/>
      <c r="P101" s="13"/>
      <c r="Q101" s="13"/>
      <c r="R101" s="13" t="s">
        <v>774</v>
      </c>
      <c r="S101" s="18" t="s">
        <v>2091</v>
      </c>
    </row>
    <row r="102" spans="1:19" ht="52.05" customHeight="1">
      <c r="A102" s="14" t="s">
        <v>344</v>
      </c>
      <c r="B102" s="13">
        <v>2024</v>
      </c>
      <c r="C102" s="15"/>
      <c r="D102" s="13" t="s">
        <v>968</v>
      </c>
      <c r="E102" s="13" t="s">
        <v>969</v>
      </c>
      <c r="F102" s="13"/>
      <c r="G102" s="13" t="s">
        <v>970</v>
      </c>
      <c r="H102" s="13"/>
      <c r="I102" s="16"/>
      <c r="J102" s="16"/>
      <c r="K102" s="16"/>
      <c r="L102" s="16"/>
      <c r="M102" s="16"/>
      <c r="N102" s="13"/>
      <c r="O102" s="13"/>
      <c r="P102" s="13"/>
      <c r="Q102" s="13"/>
      <c r="R102" s="13" t="s">
        <v>774</v>
      </c>
      <c r="S102" s="18" t="s">
        <v>2091</v>
      </c>
    </row>
    <row r="103" spans="1:19" ht="52.05" customHeight="1">
      <c r="A103" s="14" t="s">
        <v>344</v>
      </c>
      <c r="B103" s="13">
        <v>2025</v>
      </c>
      <c r="C103" s="15">
        <v>323</v>
      </c>
      <c r="D103" s="13" t="s">
        <v>848</v>
      </c>
      <c r="E103" s="13" t="s">
        <v>763</v>
      </c>
      <c r="F103" s="13" t="s">
        <v>971</v>
      </c>
      <c r="G103" s="13" t="s">
        <v>972</v>
      </c>
      <c r="H103" s="13">
        <v>33</v>
      </c>
      <c r="I103" s="16">
        <v>386</v>
      </c>
      <c r="J103" s="16"/>
      <c r="K103" s="16"/>
      <c r="L103" s="16">
        <v>35</v>
      </c>
      <c r="M103" s="16">
        <v>1.0606060606060606</v>
      </c>
      <c r="N103" s="13"/>
      <c r="O103" s="13"/>
      <c r="P103" s="13"/>
      <c r="Q103" s="13"/>
      <c r="R103" s="13" t="s">
        <v>774</v>
      </c>
      <c r="S103" s="18" t="s">
        <v>2091</v>
      </c>
    </row>
    <row r="104" spans="1:19" ht="52.05" customHeight="1">
      <c r="A104" s="14" t="s">
        <v>344</v>
      </c>
      <c r="B104" s="13">
        <v>2026</v>
      </c>
      <c r="C104" s="15">
        <v>324</v>
      </c>
      <c r="D104" s="13" t="s">
        <v>851</v>
      </c>
      <c r="E104" s="13" t="s">
        <v>763</v>
      </c>
      <c r="F104" s="13" t="s">
        <v>973</v>
      </c>
      <c r="G104" s="13" t="s">
        <v>974</v>
      </c>
      <c r="H104" s="13">
        <v>29</v>
      </c>
      <c r="I104" s="16">
        <v>404</v>
      </c>
      <c r="J104" s="16">
        <v>426</v>
      </c>
      <c r="K104" s="16">
        <v>456</v>
      </c>
      <c r="L104" s="16">
        <v>55</v>
      </c>
      <c r="M104" s="16">
        <v>1.896551724137931</v>
      </c>
      <c r="N104" s="13"/>
      <c r="O104" s="13"/>
      <c r="P104" s="13"/>
      <c r="Q104" s="13"/>
      <c r="R104" s="13" t="s">
        <v>774</v>
      </c>
      <c r="S104" s="18" t="s">
        <v>2092</v>
      </c>
    </row>
    <row r="105" spans="1:19" ht="52.05" customHeight="1">
      <c r="A105" s="14" t="s">
        <v>349</v>
      </c>
      <c r="B105" s="13">
        <v>2022</v>
      </c>
      <c r="C105" s="15">
        <v>360</v>
      </c>
      <c r="D105" s="13" t="s">
        <v>865</v>
      </c>
      <c r="E105" s="13" t="s">
        <v>755</v>
      </c>
      <c r="F105" s="13" t="s">
        <v>756</v>
      </c>
      <c r="G105" s="13" t="s">
        <v>757</v>
      </c>
      <c r="H105" s="13">
        <v>112</v>
      </c>
      <c r="I105" s="16"/>
      <c r="J105" s="16"/>
      <c r="K105" s="16"/>
      <c r="L105" s="16">
        <v>150</v>
      </c>
      <c r="M105" s="16">
        <v>1.3392857142857142</v>
      </c>
      <c r="N105" s="13"/>
      <c r="O105" s="13"/>
      <c r="P105" s="13"/>
      <c r="Q105" s="13"/>
      <c r="R105" s="13" t="s">
        <v>774</v>
      </c>
      <c r="S105" s="18" t="s">
        <v>2093</v>
      </c>
    </row>
    <row r="106" spans="1:19" ht="52.05" customHeight="1">
      <c r="A106" s="14" t="s">
        <v>349</v>
      </c>
      <c r="B106" s="13">
        <v>2023</v>
      </c>
      <c r="C106" s="15">
        <v>382</v>
      </c>
      <c r="D106" s="18" t="s">
        <v>2094</v>
      </c>
      <c r="E106" s="18" t="s">
        <v>2078</v>
      </c>
      <c r="F106" s="13" t="s">
        <v>843</v>
      </c>
      <c r="G106" s="13" t="s">
        <v>761</v>
      </c>
      <c r="H106" s="13">
        <v>123</v>
      </c>
      <c r="I106" s="16">
        <v>382</v>
      </c>
      <c r="J106" s="16"/>
      <c r="K106" s="16"/>
      <c r="L106" s="16">
        <v>163</v>
      </c>
      <c r="M106" s="16">
        <v>1.3252032520325203</v>
      </c>
      <c r="N106" s="13"/>
      <c r="O106" s="13"/>
      <c r="P106" s="13"/>
      <c r="Q106" s="13"/>
      <c r="R106" s="13" t="s">
        <v>774</v>
      </c>
      <c r="S106" s="18" t="s">
        <v>2093</v>
      </c>
    </row>
    <row r="107" spans="1:19" ht="52.05" customHeight="1">
      <c r="A107" s="14" t="s">
        <v>349</v>
      </c>
      <c r="B107" s="13">
        <v>2024</v>
      </c>
      <c r="C107" s="15">
        <v>338</v>
      </c>
      <c r="D107" s="13" t="s">
        <v>908</v>
      </c>
      <c r="E107" s="13" t="s">
        <v>763</v>
      </c>
      <c r="F107" s="13" t="s">
        <v>975</v>
      </c>
      <c r="G107" s="13" t="s">
        <v>976</v>
      </c>
      <c r="H107" s="13">
        <v>119</v>
      </c>
      <c r="I107" s="16">
        <v>365</v>
      </c>
      <c r="J107" s="16"/>
      <c r="K107" s="16"/>
      <c r="L107" s="16">
        <v>155</v>
      </c>
      <c r="M107" s="16">
        <v>1.3025210084033614</v>
      </c>
      <c r="N107" s="13"/>
      <c r="O107" s="13"/>
      <c r="P107" s="13"/>
      <c r="Q107" s="13"/>
      <c r="R107" s="13" t="s">
        <v>774</v>
      </c>
      <c r="S107" s="18" t="s">
        <v>2093</v>
      </c>
    </row>
    <row r="108" spans="1:19" ht="52.05" customHeight="1">
      <c r="A108" s="14" t="s">
        <v>349</v>
      </c>
      <c r="B108" s="13">
        <v>2025</v>
      </c>
      <c r="C108" s="15">
        <v>323</v>
      </c>
      <c r="D108" s="13" t="s">
        <v>848</v>
      </c>
      <c r="E108" s="13" t="s">
        <v>763</v>
      </c>
      <c r="F108" s="13" t="s">
        <v>977</v>
      </c>
      <c r="G108" s="13" t="s">
        <v>978</v>
      </c>
      <c r="H108" s="13">
        <v>178</v>
      </c>
      <c r="I108" s="16">
        <v>323</v>
      </c>
      <c r="J108" s="16">
        <v>346</v>
      </c>
      <c r="K108" s="16">
        <v>437</v>
      </c>
      <c r="L108" s="16">
        <v>181</v>
      </c>
      <c r="M108" s="16">
        <v>1.011173184357542</v>
      </c>
      <c r="N108" s="13"/>
      <c r="O108" s="13"/>
      <c r="P108" s="13"/>
      <c r="Q108" s="13"/>
      <c r="R108" s="13" t="s">
        <v>758</v>
      </c>
      <c r="S108" s="18" t="s">
        <v>2095</v>
      </c>
    </row>
    <row r="109" spans="1:19" ht="52.05" customHeight="1">
      <c r="A109" s="14" t="s">
        <v>349</v>
      </c>
      <c r="B109" s="13">
        <v>2026</v>
      </c>
      <c r="C109" s="15">
        <v>324</v>
      </c>
      <c r="D109" s="13" t="s">
        <v>851</v>
      </c>
      <c r="E109" s="13" t="s">
        <v>763</v>
      </c>
      <c r="F109" s="13" t="s">
        <v>979</v>
      </c>
      <c r="G109" s="13" t="s">
        <v>980</v>
      </c>
      <c r="H109" s="13">
        <v>154</v>
      </c>
      <c r="I109" s="16">
        <v>358</v>
      </c>
      <c r="J109" s="16">
        <v>381</v>
      </c>
      <c r="K109" s="16">
        <v>426</v>
      </c>
      <c r="L109" s="16">
        <v>199</v>
      </c>
      <c r="M109" s="16">
        <v>1.2922077922077919</v>
      </c>
      <c r="N109" s="13"/>
      <c r="O109" s="13"/>
      <c r="P109" s="13"/>
      <c r="Q109" s="13"/>
      <c r="R109" s="13" t="s">
        <v>774</v>
      </c>
      <c r="S109" s="18" t="s">
        <v>2096</v>
      </c>
    </row>
    <row r="110" spans="1:19" ht="52.05" customHeight="1">
      <c r="A110" s="14" t="s">
        <v>354</v>
      </c>
      <c r="B110" s="13">
        <v>2022</v>
      </c>
      <c r="C110" s="15"/>
      <c r="D110" s="13" t="s">
        <v>981</v>
      </c>
      <c r="E110" s="13" t="s">
        <v>969</v>
      </c>
      <c r="F110" s="13"/>
      <c r="G110" s="13" t="s">
        <v>757</v>
      </c>
      <c r="H110" s="13"/>
      <c r="I110" s="16"/>
      <c r="J110" s="16"/>
      <c r="K110" s="16"/>
      <c r="L110" s="16"/>
      <c r="M110" s="16"/>
      <c r="N110" s="13"/>
      <c r="O110" s="13"/>
      <c r="P110" s="13"/>
      <c r="Q110" s="13"/>
      <c r="R110" s="13" t="s">
        <v>774</v>
      </c>
      <c r="S110" s="18" t="s">
        <v>2097</v>
      </c>
    </row>
    <row r="111" spans="1:19" ht="52.05" customHeight="1">
      <c r="A111" s="14" t="s">
        <v>354</v>
      </c>
      <c r="B111" s="13">
        <v>2023</v>
      </c>
      <c r="C111" s="15"/>
      <c r="D111" s="13" t="s">
        <v>841</v>
      </c>
      <c r="E111" s="13" t="s">
        <v>842</v>
      </c>
      <c r="F111" s="13" t="s">
        <v>843</v>
      </c>
      <c r="G111" s="13" t="s">
        <v>761</v>
      </c>
      <c r="H111" s="13"/>
      <c r="I111" s="16"/>
      <c r="J111" s="16"/>
      <c r="K111" s="16"/>
      <c r="L111" s="16"/>
      <c r="M111" s="16"/>
      <c r="N111" s="13"/>
      <c r="O111" s="13"/>
      <c r="P111" s="13"/>
      <c r="Q111" s="13"/>
      <c r="R111" s="13" t="s">
        <v>774</v>
      </c>
      <c r="S111" s="18" t="s">
        <v>2097</v>
      </c>
    </row>
    <row r="112" spans="1:19" ht="52.05" customHeight="1">
      <c r="A112" s="14" t="s">
        <v>354</v>
      </c>
      <c r="B112" s="13">
        <v>2024</v>
      </c>
      <c r="C112" s="15">
        <v>338</v>
      </c>
      <c r="D112" s="13" t="s">
        <v>908</v>
      </c>
      <c r="E112" s="13" t="s">
        <v>763</v>
      </c>
      <c r="F112" s="13" t="s">
        <v>982</v>
      </c>
      <c r="G112" s="13" t="s">
        <v>983</v>
      </c>
      <c r="H112" s="13"/>
      <c r="I112" s="16"/>
      <c r="J112" s="16"/>
      <c r="K112" s="16"/>
      <c r="L112" s="16"/>
      <c r="M112" s="16"/>
      <c r="N112" s="13"/>
      <c r="O112" s="13"/>
      <c r="P112" s="13"/>
      <c r="Q112" s="13"/>
      <c r="R112" s="13" t="s">
        <v>774</v>
      </c>
      <c r="S112" s="18" t="s">
        <v>2097</v>
      </c>
    </row>
    <row r="113" spans="1:19" ht="52.05" customHeight="1">
      <c r="A113" s="14" t="s">
        <v>354</v>
      </c>
      <c r="B113" s="13">
        <v>2025</v>
      </c>
      <c r="C113" s="15">
        <v>323</v>
      </c>
      <c r="D113" s="13" t="s">
        <v>848</v>
      </c>
      <c r="E113" s="13" t="s">
        <v>763</v>
      </c>
      <c r="F113" s="13" t="s">
        <v>984</v>
      </c>
      <c r="G113" s="13" t="s">
        <v>985</v>
      </c>
      <c r="H113" s="13"/>
      <c r="I113" s="16"/>
      <c r="J113" s="16"/>
      <c r="K113" s="16"/>
      <c r="L113" s="16"/>
      <c r="M113" s="16"/>
      <c r="N113" s="13"/>
      <c r="O113" s="13"/>
      <c r="P113" s="13"/>
      <c r="Q113" s="13"/>
      <c r="R113" s="13" t="s">
        <v>774</v>
      </c>
      <c r="S113" s="18" t="s">
        <v>2097</v>
      </c>
    </row>
    <row r="114" spans="1:19" ht="52.05" customHeight="1">
      <c r="A114" s="14" t="s">
        <v>354</v>
      </c>
      <c r="B114" s="13">
        <v>2026</v>
      </c>
      <c r="C114" s="15">
        <v>324</v>
      </c>
      <c r="D114" s="13" t="s">
        <v>851</v>
      </c>
      <c r="E114" s="13" t="s">
        <v>763</v>
      </c>
      <c r="F114" s="13" t="s">
        <v>986</v>
      </c>
      <c r="G114" s="13" t="s">
        <v>987</v>
      </c>
      <c r="H114" s="13"/>
      <c r="I114" s="16"/>
      <c r="J114" s="16"/>
      <c r="K114" s="16"/>
      <c r="L114" s="16"/>
      <c r="M114" s="16"/>
      <c r="N114" s="13"/>
      <c r="O114" s="13"/>
      <c r="P114" s="13"/>
      <c r="Q114" s="13"/>
      <c r="R114" s="13" t="s">
        <v>774</v>
      </c>
      <c r="S114" s="18" t="s">
        <v>2097</v>
      </c>
    </row>
    <row r="115" spans="1:19" ht="52.05" customHeight="1">
      <c r="A115" s="14" t="s">
        <v>364</v>
      </c>
      <c r="B115" s="13">
        <v>2022</v>
      </c>
      <c r="C115" s="15"/>
      <c r="D115" s="13" t="s">
        <v>952</v>
      </c>
      <c r="E115" s="13" t="s">
        <v>755</v>
      </c>
      <c r="F115" s="13" t="s">
        <v>952</v>
      </c>
      <c r="G115" s="13" t="s">
        <v>757</v>
      </c>
      <c r="H115" s="13"/>
      <c r="I115" s="16"/>
      <c r="J115" s="16"/>
      <c r="K115" s="16"/>
      <c r="L115" s="16"/>
      <c r="M115" s="16"/>
      <c r="N115" s="13"/>
      <c r="O115" s="13"/>
      <c r="P115" s="13"/>
      <c r="Q115" s="13"/>
      <c r="R115" s="13" t="s">
        <v>774</v>
      </c>
      <c r="S115" s="18" t="s">
        <v>1998</v>
      </c>
    </row>
    <row r="116" spans="1:19" ht="52.05" customHeight="1">
      <c r="A116" s="14" t="s">
        <v>364</v>
      </c>
      <c r="B116" s="13">
        <v>2023</v>
      </c>
      <c r="C116" s="15">
        <v>355</v>
      </c>
      <c r="D116" s="13" t="s">
        <v>988</v>
      </c>
      <c r="E116" s="13" t="s">
        <v>35</v>
      </c>
      <c r="F116" s="13" t="s">
        <v>989</v>
      </c>
      <c r="G116" s="13" t="s">
        <v>761</v>
      </c>
      <c r="H116" s="13">
        <v>13</v>
      </c>
      <c r="I116" s="16">
        <v>358</v>
      </c>
      <c r="J116" s="16"/>
      <c r="K116" s="16"/>
      <c r="L116" s="16">
        <v>18</v>
      </c>
      <c r="M116" s="16">
        <v>1.3846153846153846</v>
      </c>
      <c r="N116" s="13"/>
      <c r="O116" s="13"/>
      <c r="P116" s="13"/>
      <c r="Q116" s="13"/>
      <c r="R116" s="13" t="s">
        <v>774</v>
      </c>
      <c r="S116" s="18" t="s">
        <v>1998</v>
      </c>
    </row>
    <row r="117" spans="1:19" ht="52.05" customHeight="1">
      <c r="A117" s="14" t="s">
        <v>364</v>
      </c>
      <c r="B117" s="13">
        <v>2024</v>
      </c>
      <c r="C117" s="15">
        <v>370</v>
      </c>
      <c r="D117" s="13" t="s">
        <v>803</v>
      </c>
      <c r="E117" s="13" t="s">
        <v>763</v>
      </c>
      <c r="F117" s="13" t="s">
        <v>990</v>
      </c>
      <c r="G117" s="13" t="s">
        <v>991</v>
      </c>
      <c r="H117" s="13">
        <v>28</v>
      </c>
      <c r="I117" s="16">
        <v>371</v>
      </c>
      <c r="J117" s="16">
        <v>397</v>
      </c>
      <c r="K117" s="16">
        <v>426</v>
      </c>
      <c r="L117" s="16">
        <v>19</v>
      </c>
      <c r="M117" s="16">
        <v>0.6785714285714286</v>
      </c>
      <c r="N117" s="13"/>
      <c r="O117" s="13"/>
      <c r="P117" s="13"/>
      <c r="Q117" s="13"/>
      <c r="R117" s="13" t="s">
        <v>774</v>
      </c>
      <c r="S117" s="18" t="s">
        <v>1999</v>
      </c>
    </row>
    <row r="118" spans="1:19" ht="52.05" customHeight="1">
      <c r="A118" s="14" t="s">
        <v>364</v>
      </c>
      <c r="B118" s="13">
        <v>2025</v>
      </c>
      <c r="C118" s="15">
        <v>365</v>
      </c>
      <c r="D118" s="13" t="s">
        <v>878</v>
      </c>
      <c r="E118" s="13" t="s">
        <v>763</v>
      </c>
      <c r="F118" s="13" t="s">
        <v>992</v>
      </c>
      <c r="G118" s="13" t="s">
        <v>993</v>
      </c>
      <c r="H118" s="13">
        <v>37</v>
      </c>
      <c r="I118" s="16">
        <v>366</v>
      </c>
      <c r="J118" s="16"/>
      <c r="K118" s="16"/>
      <c r="L118" s="16">
        <v>19</v>
      </c>
      <c r="M118" s="16">
        <v>0.51351351351351349</v>
      </c>
      <c r="N118" s="13"/>
      <c r="O118" s="13"/>
      <c r="P118" s="13"/>
      <c r="Q118" s="13"/>
      <c r="R118" s="13" t="s">
        <v>774</v>
      </c>
      <c r="S118" s="18" t="s">
        <v>1998</v>
      </c>
    </row>
    <row r="119" spans="1:19" ht="52.05" customHeight="1">
      <c r="A119" s="14" t="s">
        <v>364</v>
      </c>
      <c r="B119" s="13">
        <v>2026</v>
      </c>
      <c r="C119" s="15">
        <v>385</v>
      </c>
      <c r="D119" s="13" t="s">
        <v>857</v>
      </c>
      <c r="E119" s="13" t="s">
        <v>763</v>
      </c>
      <c r="F119" s="13" t="s">
        <v>994</v>
      </c>
      <c r="G119" s="13" t="s">
        <v>995</v>
      </c>
      <c r="H119" s="13">
        <v>44</v>
      </c>
      <c r="I119" s="16">
        <v>385</v>
      </c>
      <c r="J119" s="16">
        <v>409.5</v>
      </c>
      <c r="K119" s="16">
        <v>446</v>
      </c>
      <c r="L119" s="16">
        <v>18</v>
      </c>
      <c r="M119" s="16">
        <v>0.40909090909090912</v>
      </c>
      <c r="N119" s="13"/>
      <c r="O119" s="13"/>
      <c r="P119" s="13"/>
      <c r="Q119" s="13"/>
      <c r="R119" s="13" t="s">
        <v>774</v>
      </c>
      <c r="S119" s="18" t="s">
        <v>2000</v>
      </c>
    </row>
    <row r="120" spans="1:19" ht="52.05" customHeight="1">
      <c r="A120" s="14" t="s">
        <v>370</v>
      </c>
      <c r="B120" s="13">
        <v>2022</v>
      </c>
      <c r="C120" s="15">
        <v>360</v>
      </c>
      <c r="D120" s="13" t="s">
        <v>865</v>
      </c>
      <c r="E120" s="13" t="s">
        <v>755</v>
      </c>
      <c r="F120" s="13" t="s">
        <v>756</v>
      </c>
      <c r="G120" s="13" t="s">
        <v>757</v>
      </c>
      <c r="H120" s="13">
        <v>32</v>
      </c>
      <c r="I120" s="16"/>
      <c r="J120" s="16"/>
      <c r="K120" s="16"/>
      <c r="L120" s="16">
        <v>41</v>
      </c>
      <c r="M120" s="16">
        <v>1.28125</v>
      </c>
      <c r="N120" s="13"/>
      <c r="O120" s="13"/>
      <c r="P120" s="13"/>
      <c r="Q120" s="13"/>
      <c r="R120" s="13" t="s">
        <v>774</v>
      </c>
      <c r="S120" s="18" t="s">
        <v>2065</v>
      </c>
    </row>
    <row r="121" spans="1:19" ht="52.05" customHeight="1">
      <c r="A121" s="14" t="s">
        <v>370</v>
      </c>
      <c r="B121" s="13">
        <v>2023</v>
      </c>
      <c r="C121" s="15">
        <v>370</v>
      </c>
      <c r="D121" s="13" t="s">
        <v>996</v>
      </c>
      <c r="E121" s="13" t="s">
        <v>35</v>
      </c>
      <c r="F121" s="13" t="s">
        <v>997</v>
      </c>
      <c r="G121" s="13" t="s">
        <v>761</v>
      </c>
      <c r="H121" s="13">
        <v>33</v>
      </c>
      <c r="I121" s="16">
        <v>382</v>
      </c>
      <c r="J121" s="16"/>
      <c r="K121" s="16"/>
      <c r="L121" s="16">
        <v>41</v>
      </c>
      <c r="M121" s="16">
        <v>1.2424242424242424</v>
      </c>
      <c r="N121" s="13"/>
      <c r="O121" s="13"/>
      <c r="P121" s="13"/>
      <c r="Q121" s="13"/>
      <c r="R121" s="13" t="s">
        <v>774</v>
      </c>
      <c r="S121" s="18" t="s">
        <v>2065</v>
      </c>
    </row>
    <row r="122" spans="1:19" ht="52.05" customHeight="1">
      <c r="A122" s="14" t="s">
        <v>370</v>
      </c>
      <c r="B122" s="13">
        <v>2024</v>
      </c>
      <c r="C122" s="15">
        <v>370</v>
      </c>
      <c r="D122" s="13" t="s">
        <v>803</v>
      </c>
      <c r="E122" s="13" t="s">
        <v>763</v>
      </c>
      <c r="F122" s="13" t="s">
        <v>998</v>
      </c>
      <c r="G122" s="13" t="s">
        <v>999</v>
      </c>
      <c r="H122" s="13">
        <v>12</v>
      </c>
      <c r="I122" s="16">
        <v>372</v>
      </c>
      <c r="J122" s="16">
        <v>401</v>
      </c>
      <c r="K122" s="16">
        <v>413</v>
      </c>
      <c r="L122" s="16">
        <v>14</v>
      </c>
      <c r="M122" s="16">
        <v>1.1666666666666667</v>
      </c>
      <c r="N122" s="13"/>
      <c r="O122" s="13"/>
      <c r="P122" s="13"/>
      <c r="Q122" s="13"/>
      <c r="R122" s="13" t="s">
        <v>774</v>
      </c>
      <c r="S122" s="18" t="s">
        <v>2066</v>
      </c>
    </row>
    <row r="123" spans="1:19" ht="52.05" customHeight="1">
      <c r="A123" s="14" t="s">
        <v>370</v>
      </c>
      <c r="B123" s="13">
        <v>2025</v>
      </c>
      <c r="C123" s="15">
        <v>335</v>
      </c>
      <c r="D123" s="13" t="s">
        <v>947</v>
      </c>
      <c r="E123" s="13" t="s">
        <v>763</v>
      </c>
      <c r="F123" s="13" t="s">
        <v>1000</v>
      </c>
      <c r="G123" s="13" t="s">
        <v>1001</v>
      </c>
      <c r="H123" s="13">
        <v>22</v>
      </c>
      <c r="I123" s="16">
        <v>347</v>
      </c>
      <c r="J123" s="16"/>
      <c r="K123" s="16"/>
      <c r="L123" s="16">
        <v>34</v>
      </c>
      <c r="M123" s="16">
        <v>1.5454545454545454</v>
      </c>
      <c r="N123" s="13"/>
      <c r="O123" s="13"/>
      <c r="P123" s="13"/>
      <c r="Q123" s="13"/>
      <c r="R123" s="13" t="s">
        <v>774</v>
      </c>
      <c r="S123" s="18" t="s">
        <v>2065</v>
      </c>
    </row>
    <row r="124" spans="1:19" ht="52.05" customHeight="1">
      <c r="A124" s="14" t="s">
        <v>370</v>
      </c>
      <c r="B124" s="13">
        <v>2026</v>
      </c>
      <c r="C124" s="15">
        <v>325</v>
      </c>
      <c r="D124" s="13" t="s">
        <v>862</v>
      </c>
      <c r="E124" s="13" t="s">
        <v>763</v>
      </c>
      <c r="F124" s="13" t="s">
        <v>1002</v>
      </c>
      <c r="G124" s="13" t="s">
        <v>1003</v>
      </c>
      <c r="H124" s="13">
        <v>26</v>
      </c>
      <c r="I124" s="16">
        <v>331</v>
      </c>
      <c r="J124" s="16">
        <v>371</v>
      </c>
      <c r="K124" s="16">
        <v>431</v>
      </c>
      <c r="L124" s="16">
        <v>30</v>
      </c>
      <c r="M124" s="16">
        <v>1.1538461538461535</v>
      </c>
      <c r="N124" s="13"/>
      <c r="O124" s="13"/>
      <c r="P124" s="13"/>
      <c r="Q124" s="13"/>
      <c r="R124" s="13" t="s">
        <v>774</v>
      </c>
      <c r="S124" s="18" t="s">
        <v>2067</v>
      </c>
    </row>
    <row r="125" spans="1:19" ht="52.05" customHeight="1">
      <c r="A125" s="14" t="s">
        <v>387</v>
      </c>
      <c r="B125" s="13">
        <v>2022</v>
      </c>
      <c r="C125" s="15">
        <v>370</v>
      </c>
      <c r="D125" s="13" t="s">
        <v>884</v>
      </c>
      <c r="E125" s="13" t="s">
        <v>755</v>
      </c>
      <c r="F125" s="13" t="s">
        <v>756</v>
      </c>
      <c r="G125" s="13" t="s">
        <v>757</v>
      </c>
      <c r="H125" s="13">
        <v>15</v>
      </c>
      <c r="I125" s="16"/>
      <c r="J125" s="16">
        <v>409</v>
      </c>
      <c r="K125" s="16">
        <v>434</v>
      </c>
      <c r="L125" s="16">
        <v>18</v>
      </c>
      <c r="M125" s="16">
        <v>1.2</v>
      </c>
      <c r="N125" s="13"/>
      <c r="O125" s="13"/>
      <c r="P125" s="13"/>
      <c r="Q125" s="13"/>
      <c r="R125" s="13" t="s">
        <v>774</v>
      </c>
      <c r="S125" s="18" t="s">
        <v>2031</v>
      </c>
    </row>
    <row r="126" spans="1:19" ht="52.05" customHeight="1">
      <c r="A126" s="14" t="s">
        <v>387</v>
      </c>
      <c r="B126" s="13">
        <v>2023</v>
      </c>
      <c r="C126" s="15">
        <v>370</v>
      </c>
      <c r="D126" s="13" t="s">
        <v>1004</v>
      </c>
      <c r="E126" s="13" t="s">
        <v>35</v>
      </c>
      <c r="F126" s="13" t="s">
        <v>1005</v>
      </c>
      <c r="G126" s="13" t="s">
        <v>761</v>
      </c>
      <c r="H126" s="13">
        <v>21</v>
      </c>
      <c r="I126" s="16"/>
      <c r="J126" s="16"/>
      <c r="K126" s="16"/>
      <c r="L126" s="16">
        <v>33</v>
      </c>
      <c r="M126" s="16">
        <v>1.5714285714285714</v>
      </c>
      <c r="N126" s="13"/>
      <c r="O126" s="13"/>
      <c r="P126" s="13"/>
      <c r="Q126" s="13"/>
      <c r="R126" s="13" t="s">
        <v>774</v>
      </c>
      <c r="S126" s="18" t="s">
        <v>2032</v>
      </c>
    </row>
    <row r="127" spans="1:19" ht="52.05" customHeight="1">
      <c r="A127" s="14" t="s">
        <v>387</v>
      </c>
      <c r="B127" s="13">
        <v>2024</v>
      </c>
      <c r="C127" s="15">
        <v>370</v>
      </c>
      <c r="D127" s="13" t="s">
        <v>803</v>
      </c>
      <c r="E127" s="13" t="s">
        <v>763</v>
      </c>
      <c r="F127" s="13" t="s">
        <v>1006</v>
      </c>
      <c r="G127" s="13" t="s">
        <v>1007</v>
      </c>
      <c r="H127" s="13">
        <v>28</v>
      </c>
      <c r="I127" s="16">
        <v>391</v>
      </c>
      <c r="J127" s="16"/>
      <c r="K127" s="16"/>
      <c r="L127" s="16">
        <v>46</v>
      </c>
      <c r="M127" s="16">
        <v>1.6428571428571428</v>
      </c>
      <c r="N127" s="13"/>
      <c r="O127" s="13"/>
      <c r="P127" s="13"/>
      <c r="Q127" s="13"/>
      <c r="R127" s="13" t="s">
        <v>774</v>
      </c>
      <c r="S127" s="18" t="s">
        <v>2032</v>
      </c>
    </row>
    <row r="128" spans="1:19" ht="52.05" customHeight="1">
      <c r="A128" s="14" t="s">
        <v>387</v>
      </c>
      <c r="B128" s="13">
        <v>2025</v>
      </c>
      <c r="C128" s="15">
        <v>365</v>
      </c>
      <c r="D128" s="13" t="s">
        <v>878</v>
      </c>
      <c r="E128" s="13" t="s">
        <v>763</v>
      </c>
      <c r="F128" s="13" t="s">
        <v>1008</v>
      </c>
      <c r="G128" s="13" t="s">
        <v>1009</v>
      </c>
      <c r="H128" s="13">
        <v>27</v>
      </c>
      <c r="I128" s="16">
        <v>370</v>
      </c>
      <c r="J128" s="16">
        <v>383</v>
      </c>
      <c r="K128" s="16">
        <v>421</v>
      </c>
      <c r="L128" s="16">
        <v>33</v>
      </c>
      <c r="M128" s="16">
        <v>1.2222222222222223</v>
      </c>
      <c r="N128" s="13"/>
      <c r="O128" s="13"/>
      <c r="P128" s="13"/>
      <c r="Q128" s="13"/>
      <c r="R128" s="13" t="s">
        <v>774</v>
      </c>
      <c r="S128" s="18" t="s">
        <v>2033</v>
      </c>
    </row>
    <row r="129" spans="1:19" ht="52.05" customHeight="1">
      <c r="A129" s="14" t="s">
        <v>387</v>
      </c>
      <c r="B129" s="13">
        <v>2026</v>
      </c>
      <c r="C129" s="15">
        <v>355</v>
      </c>
      <c r="D129" s="13" t="s">
        <v>806</v>
      </c>
      <c r="E129" s="13" t="s">
        <v>763</v>
      </c>
      <c r="F129" s="13" t="s">
        <v>1010</v>
      </c>
      <c r="G129" s="13" t="s">
        <v>1011</v>
      </c>
      <c r="H129" s="13">
        <v>27</v>
      </c>
      <c r="I129" s="16">
        <v>402</v>
      </c>
      <c r="J129" s="16">
        <v>415</v>
      </c>
      <c r="K129" s="16">
        <v>435</v>
      </c>
      <c r="L129" s="16">
        <v>33</v>
      </c>
      <c r="M129" s="16">
        <v>1.2222222222222223</v>
      </c>
      <c r="N129" s="13"/>
      <c r="O129" s="13"/>
      <c r="P129" s="13"/>
      <c r="Q129" s="13"/>
      <c r="R129" s="13" t="s">
        <v>774</v>
      </c>
      <c r="S129" s="18" t="s">
        <v>2034</v>
      </c>
    </row>
    <row r="130" spans="1:19" ht="52.05" customHeight="1">
      <c r="A130" s="14" t="s">
        <v>392</v>
      </c>
      <c r="B130" s="13">
        <v>2022</v>
      </c>
      <c r="C130" s="15">
        <v>400</v>
      </c>
      <c r="D130" s="13" t="s">
        <v>788</v>
      </c>
      <c r="E130" s="13" t="s">
        <v>755</v>
      </c>
      <c r="F130" s="13" t="s">
        <v>756</v>
      </c>
      <c r="G130" s="13" t="s">
        <v>757</v>
      </c>
      <c r="H130" s="13">
        <v>372</v>
      </c>
      <c r="I130" s="16"/>
      <c r="J130" s="16"/>
      <c r="K130" s="16"/>
      <c r="L130" s="16">
        <v>414</v>
      </c>
      <c r="M130" s="16">
        <v>1.1129032258064515</v>
      </c>
      <c r="N130" s="13"/>
      <c r="O130" s="13"/>
      <c r="P130" s="13"/>
      <c r="Q130" s="13"/>
      <c r="R130" s="13" t="s">
        <v>774</v>
      </c>
      <c r="S130" s="18" t="s">
        <v>2017</v>
      </c>
    </row>
    <row r="131" spans="1:19" ht="52.05" customHeight="1">
      <c r="A131" s="14" t="s">
        <v>392</v>
      </c>
      <c r="B131" s="13">
        <v>2023</v>
      </c>
      <c r="C131" s="15">
        <v>390</v>
      </c>
      <c r="D131" s="13" t="s">
        <v>1012</v>
      </c>
      <c r="E131" s="13" t="s">
        <v>35</v>
      </c>
      <c r="F131" s="13" t="s">
        <v>1013</v>
      </c>
      <c r="G131" s="13" t="s">
        <v>761</v>
      </c>
      <c r="H131" s="13">
        <v>212</v>
      </c>
      <c r="I131" s="16">
        <v>390</v>
      </c>
      <c r="J131" s="16"/>
      <c r="K131" s="16"/>
      <c r="L131" s="16">
        <v>212</v>
      </c>
      <c r="M131" s="16">
        <v>1</v>
      </c>
      <c r="N131" s="13"/>
      <c r="O131" s="13"/>
      <c r="P131" s="13"/>
      <c r="Q131" s="13"/>
      <c r="R131" s="13" t="s">
        <v>774</v>
      </c>
      <c r="S131" s="18" t="s">
        <v>2017</v>
      </c>
    </row>
    <row r="132" spans="1:19" ht="52.05" customHeight="1">
      <c r="A132" s="14" t="s">
        <v>392</v>
      </c>
      <c r="B132" s="13">
        <v>2024</v>
      </c>
      <c r="C132" s="15">
        <v>375</v>
      </c>
      <c r="D132" s="13" t="s">
        <v>793</v>
      </c>
      <c r="E132" s="13" t="s">
        <v>763</v>
      </c>
      <c r="F132" s="13" t="s">
        <v>1014</v>
      </c>
      <c r="G132" s="13" t="s">
        <v>1015</v>
      </c>
      <c r="H132" s="13">
        <v>216</v>
      </c>
      <c r="I132" s="16">
        <v>375</v>
      </c>
      <c r="J132" s="16">
        <v>397</v>
      </c>
      <c r="K132" s="16">
        <v>435</v>
      </c>
      <c r="L132" s="16">
        <v>264</v>
      </c>
      <c r="M132" s="16">
        <v>1.2222222222222223</v>
      </c>
      <c r="N132" s="13"/>
      <c r="O132" s="13"/>
      <c r="P132" s="13"/>
      <c r="Q132" s="13"/>
      <c r="R132" s="13" t="s">
        <v>774</v>
      </c>
      <c r="S132" s="18" t="s">
        <v>2018</v>
      </c>
    </row>
    <row r="133" spans="1:19" ht="52.05" customHeight="1">
      <c r="A133" s="14" t="s">
        <v>392</v>
      </c>
      <c r="B133" s="13">
        <v>2025</v>
      </c>
      <c r="C133" s="15">
        <v>345</v>
      </c>
      <c r="D133" s="13" t="s">
        <v>1016</v>
      </c>
      <c r="E133" s="13" t="s">
        <v>35</v>
      </c>
      <c r="F133" s="13" t="s">
        <v>923</v>
      </c>
      <c r="G133" s="13" t="s">
        <v>1017</v>
      </c>
      <c r="H133" s="13">
        <v>247</v>
      </c>
      <c r="I133" s="16">
        <v>345</v>
      </c>
      <c r="J133" s="16">
        <v>369</v>
      </c>
      <c r="K133" s="16">
        <v>415</v>
      </c>
      <c r="L133" s="16">
        <v>277</v>
      </c>
      <c r="M133" s="16">
        <v>1.1214574898785423</v>
      </c>
      <c r="N133" s="13"/>
      <c r="O133" s="13"/>
      <c r="P133" s="13"/>
      <c r="Q133" s="13"/>
      <c r="R133" s="13" t="s">
        <v>774</v>
      </c>
      <c r="S133" s="18" t="s">
        <v>2019</v>
      </c>
    </row>
    <row r="134" spans="1:19" ht="52.05" customHeight="1">
      <c r="A134" s="14" t="s">
        <v>392</v>
      </c>
      <c r="B134" s="13">
        <v>2026</v>
      </c>
      <c r="C134" s="15">
        <v>375</v>
      </c>
      <c r="D134" s="13" t="s">
        <v>1018</v>
      </c>
      <c r="E134" s="13" t="s">
        <v>35</v>
      </c>
      <c r="F134" s="13" t="s">
        <v>923</v>
      </c>
      <c r="G134" s="13" t="s">
        <v>1019</v>
      </c>
      <c r="H134" s="13">
        <v>264</v>
      </c>
      <c r="I134" s="16">
        <v>375</v>
      </c>
      <c r="J134" s="16">
        <v>405</v>
      </c>
      <c r="K134" s="16">
        <v>443</v>
      </c>
      <c r="L134" s="16">
        <v>314</v>
      </c>
      <c r="M134" s="16">
        <v>1.1893939393939394</v>
      </c>
      <c r="N134" s="13"/>
      <c r="O134" s="13"/>
      <c r="P134" s="13"/>
      <c r="Q134" s="13"/>
      <c r="R134" s="13" t="s">
        <v>774</v>
      </c>
      <c r="S134" s="18" t="s">
        <v>2020</v>
      </c>
    </row>
    <row r="135" spans="1:19" ht="52.05" customHeight="1">
      <c r="A135" s="14" t="s">
        <v>401</v>
      </c>
      <c r="B135" s="13">
        <v>2022</v>
      </c>
      <c r="C135" s="15">
        <v>370</v>
      </c>
      <c r="D135" s="13" t="s">
        <v>884</v>
      </c>
      <c r="E135" s="13" t="s">
        <v>755</v>
      </c>
      <c r="F135" s="13" t="s">
        <v>756</v>
      </c>
      <c r="G135" s="13" t="s">
        <v>757</v>
      </c>
      <c r="H135" s="13">
        <v>9</v>
      </c>
      <c r="I135" s="16"/>
      <c r="J135" s="16">
        <v>422</v>
      </c>
      <c r="K135" s="16">
        <v>444</v>
      </c>
      <c r="L135" s="16">
        <v>9</v>
      </c>
      <c r="M135" s="16">
        <v>1</v>
      </c>
      <c r="N135" s="13"/>
      <c r="O135" s="13"/>
      <c r="P135" s="13"/>
      <c r="Q135" s="13"/>
      <c r="R135" s="13" t="s">
        <v>774</v>
      </c>
      <c r="S135" s="18" t="s">
        <v>2021</v>
      </c>
    </row>
    <row r="136" spans="1:19" ht="52.05" customHeight="1">
      <c r="A136" s="14" t="s">
        <v>401</v>
      </c>
      <c r="B136" s="13">
        <v>2023</v>
      </c>
      <c r="C136" s="15">
        <v>365</v>
      </c>
      <c r="D136" s="13" t="s">
        <v>1020</v>
      </c>
      <c r="E136" s="13" t="s">
        <v>35</v>
      </c>
      <c r="F136" s="13" t="s">
        <v>1021</v>
      </c>
      <c r="G136" s="13" t="s">
        <v>761</v>
      </c>
      <c r="H136" s="13">
        <v>10</v>
      </c>
      <c r="I136" s="16">
        <v>369</v>
      </c>
      <c r="J136" s="16"/>
      <c r="K136" s="16"/>
      <c r="L136" s="16">
        <v>10</v>
      </c>
      <c r="M136" s="16">
        <v>1</v>
      </c>
      <c r="N136" s="13"/>
      <c r="O136" s="13"/>
      <c r="P136" s="13"/>
      <c r="Q136" s="13"/>
      <c r="R136" s="13" t="s">
        <v>774</v>
      </c>
      <c r="S136" s="18" t="s">
        <v>2022</v>
      </c>
    </row>
    <row r="137" spans="1:19" ht="52.05" customHeight="1">
      <c r="A137" s="14" t="s">
        <v>401</v>
      </c>
      <c r="B137" s="13">
        <v>2024</v>
      </c>
      <c r="C137" s="15">
        <v>370</v>
      </c>
      <c r="D137" s="13" t="s">
        <v>803</v>
      </c>
      <c r="E137" s="13" t="s">
        <v>763</v>
      </c>
      <c r="F137" s="13" t="s">
        <v>1022</v>
      </c>
      <c r="G137" s="13" t="s">
        <v>1023</v>
      </c>
      <c r="H137" s="13">
        <v>7</v>
      </c>
      <c r="I137" s="16">
        <v>409</v>
      </c>
      <c r="J137" s="16">
        <v>422</v>
      </c>
      <c r="K137" s="16">
        <v>432</v>
      </c>
      <c r="L137" s="16">
        <v>8</v>
      </c>
      <c r="M137" s="16">
        <v>1.1428571428571428</v>
      </c>
      <c r="N137" s="13"/>
      <c r="O137" s="13"/>
      <c r="P137" s="13"/>
      <c r="Q137" s="13"/>
      <c r="R137" s="13" t="s">
        <v>774</v>
      </c>
      <c r="S137" s="18" t="s">
        <v>2023</v>
      </c>
    </row>
    <row r="138" spans="1:19" ht="52.05" customHeight="1">
      <c r="A138" s="14" t="s">
        <v>401</v>
      </c>
      <c r="B138" s="13">
        <v>2025</v>
      </c>
      <c r="C138" s="15">
        <v>360</v>
      </c>
      <c r="D138" s="13" t="s">
        <v>873</v>
      </c>
      <c r="E138" s="13" t="s">
        <v>763</v>
      </c>
      <c r="F138" s="13" t="s">
        <v>1024</v>
      </c>
      <c r="G138" s="13" t="s">
        <v>1025</v>
      </c>
      <c r="H138" s="13">
        <v>8</v>
      </c>
      <c r="I138" s="16">
        <v>389</v>
      </c>
      <c r="J138" s="16">
        <v>398</v>
      </c>
      <c r="K138" s="16">
        <v>420</v>
      </c>
      <c r="L138" s="16">
        <v>8</v>
      </c>
      <c r="M138" s="16">
        <v>1</v>
      </c>
      <c r="N138" s="13"/>
      <c r="O138" s="13"/>
      <c r="P138" s="13"/>
      <c r="Q138" s="13"/>
      <c r="R138" s="13" t="s">
        <v>774</v>
      </c>
      <c r="S138" s="18" t="s">
        <v>2024</v>
      </c>
    </row>
    <row r="139" spans="1:19" ht="52.05" customHeight="1">
      <c r="A139" s="14" t="s">
        <v>401</v>
      </c>
      <c r="B139" s="13">
        <v>2026</v>
      </c>
      <c r="C139" s="15">
        <v>370</v>
      </c>
      <c r="D139" s="13" t="s">
        <v>803</v>
      </c>
      <c r="E139" s="13" t="s">
        <v>763</v>
      </c>
      <c r="F139" s="13" t="s">
        <v>1022</v>
      </c>
      <c r="G139" s="13" t="s">
        <v>1026</v>
      </c>
      <c r="H139" s="13">
        <v>9</v>
      </c>
      <c r="I139" s="16">
        <v>390</v>
      </c>
      <c r="J139" s="16">
        <v>403</v>
      </c>
      <c r="K139" s="16">
        <v>428</v>
      </c>
      <c r="L139" s="16">
        <v>12</v>
      </c>
      <c r="M139" s="16">
        <v>1.3333333333333333</v>
      </c>
      <c r="N139" s="13"/>
      <c r="O139" s="13"/>
      <c r="P139" s="13"/>
      <c r="Q139" s="13"/>
      <c r="R139" s="13" t="s">
        <v>774</v>
      </c>
      <c r="S139" s="18" t="s">
        <v>2025</v>
      </c>
    </row>
    <row r="140" spans="1:19" ht="52.05" customHeight="1">
      <c r="A140" s="14" t="s">
        <v>407</v>
      </c>
      <c r="B140" s="13">
        <v>2022</v>
      </c>
      <c r="C140" s="15">
        <v>370</v>
      </c>
      <c r="D140" s="13" t="s">
        <v>884</v>
      </c>
      <c r="E140" s="13" t="s">
        <v>755</v>
      </c>
      <c r="F140" s="13" t="s">
        <v>756</v>
      </c>
      <c r="G140" s="13" t="s">
        <v>757</v>
      </c>
      <c r="H140" s="13">
        <v>45</v>
      </c>
      <c r="I140" s="16">
        <v>390</v>
      </c>
      <c r="J140" s="16"/>
      <c r="K140" s="16"/>
      <c r="L140" s="16">
        <v>152</v>
      </c>
      <c r="M140" s="16">
        <v>3.3777777777777778</v>
      </c>
      <c r="N140" s="13"/>
      <c r="O140" s="13"/>
      <c r="P140" s="13"/>
      <c r="Q140" s="13"/>
      <c r="R140" s="13" t="s">
        <v>774</v>
      </c>
      <c r="S140" s="18" t="s">
        <v>2035</v>
      </c>
    </row>
    <row r="141" spans="1:19" ht="52.05" customHeight="1">
      <c r="A141" s="14" t="s">
        <v>407</v>
      </c>
      <c r="B141" s="13">
        <v>2023</v>
      </c>
      <c r="C141" s="15">
        <v>370</v>
      </c>
      <c r="D141" s="13" t="s">
        <v>1027</v>
      </c>
      <c r="E141" s="13" t="s">
        <v>35</v>
      </c>
      <c r="F141" s="13" t="s">
        <v>1028</v>
      </c>
      <c r="G141" s="13" t="s">
        <v>761</v>
      </c>
      <c r="H141" s="13">
        <v>39</v>
      </c>
      <c r="I141" s="16">
        <v>377</v>
      </c>
      <c r="J141" s="16"/>
      <c r="K141" s="16"/>
      <c r="L141" s="16">
        <v>101</v>
      </c>
      <c r="M141" s="16">
        <v>2.5897435897435899</v>
      </c>
      <c r="N141" s="13"/>
      <c r="O141" s="13"/>
      <c r="P141" s="13"/>
      <c r="Q141" s="13"/>
      <c r="R141" s="13" t="s">
        <v>774</v>
      </c>
      <c r="S141" s="18" t="s">
        <v>2035</v>
      </c>
    </row>
    <row r="142" spans="1:19" ht="52.05" customHeight="1">
      <c r="A142" s="14" t="s">
        <v>407</v>
      </c>
      <c r="B142" s="13">
        <v>2024</v>
      </c>
      <c r="C142" s="15">
        <v>355</v>
      </c>
      <c r="D142" s="13" t="s">
        <v>806</v>
      </c>
      <c r="E142" s="13" t="s">
        <v>763</v>
      </c>
      <c r="F142" s="13" t="s">
        <v>1029</v>
      </c>
      <c r="G142" s="13" t="s">
        <v>1030</v>
      </c>
      <c r="H142" s="13">
        <v>46</v>
      </c>
      <c r="I142" s="16">
        <v>363</v>
      </c>
      <c r="J142" s="16">
        <v>394.5</v>
      </c>
      <c r="K142" s="16">
        <v>427</v>
      </c>
      <c r="L142" s="16"/>
      <c r="M142" s="16"/>
      <c r="N142" s="13"/>
      <c r="O142" s="13"/>
      <c r="P142" s="13"/>
      <c r="Q142" s="13"/>
      <c r="R142" s="13" t="s">
        <v>774</v>
      </c>
      <c r="S142" s="18" t="s">
        <v>2036</v>
      </c>
    </row>
    <row r="143" spans="1:19" ht="52.05" customHeight="1">
      <c r="A143" s="14" t="s">
        <v>407</v>
      </c>
      <c r="B143" s="13">
        <v>2025</v>
      </c>
      <c r="C143" s="15">
        <v>345</v>
      </c>
      <c r="D143" s="13" t="s">
        <v>780</v>
      </c>
      <c r="E143" s="13" t="s">
        <v>763</v>
      </c>
      <c r="F143" s="13" t="s">
        <v>1031</v>
      </c>
      <c r="G143" s="13" t="s">
        <v>1032</v>
      </c>
      <c r="H143" s="13">
        <v>52</v>
      </c>
      <c r="I143" s="16">
        <v>362</v>
      </c>
      <c r="J143" s="16">
        <v>391</v>
      </c>
      <c r="K143" s="16">
        <v>422</v>
      </c>
      <c r="L143" s="16">
        <v>75</v>
      </c>
      <c r="M143" s="16">
        <v>1.4423076923076923</v>
      </c>
      <c r="N143" s="13"/>
      <c r="O143" s="13"/>
      <c r="P143" s="13"/>
      <c r="Q143" s="13"/>
      <c r="R143" s="13" t="s">
        <v>758</v>
      </c>
      <c r="S143" s="18" t="s">
        <v>2037</v>
      </c>
    </row>
    <row r="144" spans="1:19" ht="52.05" customHeight="1">
      <c r="A144" s="14" t="s">
        <v>407</v>
      </c>
      <c r="B144" s="13">
        <v>2026</v>
      </c>
      <c r="C144" s="15">
        <v>355</v>
      </c>
      <c r="D144" s="13" t="s">
        <v>806</v>
      </c>
      <c r="E144" s="13" t="s">
        <v>763</v>
      </c>
      <c r="F144" s="13" t="s">
        <v>1029</v>
      </c>
      <c r="G144" s="13" t="s">
        <v>1033</v>
      </c>
      <c r="H144" s="13">
        <v>51</v>
      </c>
      <c r="I144" s="16">
        <v>390</v>
      </c>
      <c r="J144" s="16">
        <v>415</v>
      </c>
      <c r="K144" s="16">
        <v>440</v>
      </c>
      <c r="L144" s="16">
        <v>84</v>
      </c>
      <c r="M144" s="16">
        <v>1.6470588235294117</v>
      </c>
      <c r="N144" s="13"/>
      <c r="O144" s="13"/>
      <c r="P144" s="13"/>
      <c r="Q144" s="13"/>
      <c r="R144" s="13" t="s">
        <v>774</v>
      </c>
      <c r="S144" s="18" t="s">
        <v>2038</v>
      </c>
    </row>
    <row r="145" spans="1:19" ht="52.05" customHeight="1">
      <c r="A145" s="14" t="s">
        <v>415</v>
      </c>
      <c r="B145" s="13">
        <v>2022</v>
      </c>
      <c r="C145" s="15">
        <v>360</v>
      </c>
      <c r="D145" s="13" t="s">
        <v>865</v>
      </c>
      <c r="E145" s="13" t="s">
        <v>755</v>
      </c>
      <c r="F145" s="13" t="s">
        <v>756</v>
      </c>
      <c r="G145" s="13" t="s">
        <v>757</v>
      </c>
      <c r="H145" s="13">
        <v>54</v>
      </c>
      <c r="I145" s="16"/>
      <c r="J145" s="16"/>
      <c r="K145" s="16"/>
      <c r="L145" s="16">
        <v>67</v>
      </c>
      <c r="M145" s="16">
        <v>1.2407407407407407</v>
      </c>
      <c r="N145" s="13"/>
      <c r="O145" s="13"/>
      <c r="P145" s="13"/>
      <c r="Q145" s="13"/>
      <c r="R145" s="13" t="s">
        <v>774</v>
      </c>
      <c r="S145" s="18" t="s">
        <v>2043</v>
      </c>
    </row>
    <row r="146" spans="1:19" ht="52.05" customHeight="1">
      <c r="A146" s="14" t="s">
        <v>415</v>
      </c>
      <c r="B146" s="13">
        <v>2023</v>
      </c>
      <c r="C146" s="15">
        <v>360</v>
      </c>
      <c r="D146" s="13" t="s">
        <v>1034</v>
      </c>
      <c r="E146" s="13" t="s">
        <v>35</v>
      </c>
      <c r="F146" s="13" t="s">
        <v>1035</v>
      </c>
      <c r="G146" s="13" t="s">
        <v>761</v>
      </c>
      <c r="H146" s="13">
        <v>52</v>
      </c>
      <c r="I146" s="16">
        <v>382</v>
      </c>
      <c r="J146" s="16"/>
      <c r="K146" s="16"/>
      <c r="L146" s="16">
        <v>69</v>
      </c>
      <c r="M146" s="16">
        <v>1.3269230769230769</v>
      </c>
      <c r="N146" s="13"/>
      <c r="O146" s="13"/>
      <c r="P146" s="13"/>
      <c r="Q146" s="13"/>
      <c r="R146" s="13" t="s">
        <v>774</v>
      </c>
      <c r="S146" s="18" t="s">
        <v>2043</v>
      </c>
    </row>
    <row r="147" spans="1:19" ht="52.05" customHeight="1">
      <c r="A147" s="14" t="s">
        <v>415</v>
      </c>
      <c r="B147" s="13">
        <v>2024</v>
      </c>
      <c r="C147" s="15">
        <v>360</v>
      </c>
      <c r="D147" s="13" t="s">
        <v>873</v>
      </c>
      <c r="E147" s="13" t="s">
        <v>763</v>
      </c>
      <c r="F147" s="13" t="s">
        <v>1036</v>
      </c>
      <c r="G147" s="13" t="s">
        <v>1037</v>
      </c>
      <c r="H147" s="13">
        <v>20</v>
      </c>
      <c r="I147" s="16">
        <v>398</v>
      </c>
      <c r="J147" s="16">
        <v>422.5</v>
      </c>
      <c r="K147" s="16">
        <v>447</v>
      </c>
      <c r="L147" s="16">
        <v>29</v>
      </c>
      <c r="M147" s="16">
        <v>1.45</v>
      </c>
      <c r="N147" s="13"/>
      <c r="O147" s="13"/>
      <c r="P147" s="13"/>
      <c r="Q147" s="13"/>
      <c r="R147" s="13" t="s">
        <v>774</v>
      </c>
      <c r="S147" s="18" t="s">
        <v>2044</v>
      </c>
    </row>
    <row r="148" spans="1:19" ht="52.05" customHeight="1">
      <c r="A148" s="14" t="s">
        <v>415</v>
      </c>
      <c r="B148" s="13">
        <v>2025</v>
      </c>
      <c r="C148" s="15">
        <v>350</v>
      </c>
      <c r="D148" s="13" t="s">
        <v>868</v>
      </c>
      <c r="E148" s="13" t="s">
        <v>763</v>
      </c>
      <c r="F148" s="13" t="s">
        <v>1038</v>
      </c>
      <c r="G148" s="13" t="s">
        <v>1039</v>
      </c>
      <c r="H148" s="13">
        <v>15</v>
      </c>
      <c r="I148" s="16">
        <v>386</v>
      </c>
      <c r="J148" s="16">
        <v>404</v>
      </c>
      <c r="K148" s="16">
        <v>430</v>
      </c>
      <c r="L148" s="16">
        <v>21</v>
      </c>
      <c r="M148" s="16">
        <v>1.4</v>
      </c>
      <c r="N148" s="13"/>
      <c r="O148" s="13"/>
      <c r="P148" s="13"/>
      <c r="Q148" s="13"/>
      <c r="R148" s="13" t="s">
        <v>774</v>
      </c>
      <c r="S148" s="18" t="s">
        <v>2045</v>
      </c>
    </row>
    <row r="149" spans="1:19" ht="52.05" customHeight="1">
      <c r="A149" s="14" t="s">
        <v>415</v>
      </c>
      <c r="B149" s="13">
        <v>2026</v>
      </c>
      <c r="C149" s="15">
        <v>350</v>
      </c>
      <c r="D149" s="13" t="s">
        <v>868</v>
      </c>
      <c r="E149" s="13" t="s">
        <v>763</v>
      </c>
      <c r="F149" s="13" t="s">
        <v>1038</v>
      </c>
      <c r="G149" s="13" t="s">
        <v>1040</v>
      </c>
      <c r="H149" s="13">
        <v>9</v>
      </c>
      <c r="I149" s="16">
        <v>391</v>
      </c>
      <c r="J149" s="16">
        <v>394</v>
      </c>
      <c r="K149" s="16">
        <v>434</v>
      </c>
      <c r="L149" s="16">
        <v>14</v>
      </c>
      <c r="M149" s="16">
        <v>1.5555555555555556</v>
      </c>
      <c r="N149" s="13"/>
      <c r="O149" s="13"/>
      <c r="P149" s="13"/>
      <c r="Q149" s="13"/>
      <c r="R149" s="13" t="s">
        <v>774</v>
      </c>
      <c r="S149" s="18" t="s">
        <v>2046</v>
      </c>
    </row>
    <row r="150" spans="1:19" ht="52.05" customHeight="1">
      <c r="A150" s="14" t="s">
        <v>422</v>
      </c>
      <c r="B150" s="13">
        <v>2022</v>
      </c>
      <c r="C150" s="15">
        <v>370</v>
      </c>
      <c r="D150" s="13" t="s">
        <v>884</v>
      </c>
      <c r="E150" s="13" t="s">
        <v>755</v>
      </c>
      <c r="F150" s="13" t="s">
        <v>756</v>
      </c>
      <c r="G150" s="13" t="s">
        <v>757</v>
      </c>
      <c r="H150" s="13">
        <v>16</v>
      </c>
      <c r="I150" s="16"/>
      <c r="J150" s="16"/>
      <c r="K150" s="16"/>
      <c r="L150" s="16">
        <v>24</v>
      </c>
      <c r="M150" s="16">
        <v>1.5</v>
      </c>
      <c r="N150" s="13"/>
      <c r="O150" s="13"/>
      <c r="P150" s="13"/>
      <c r="Q150" s="13"/>
      <c r="R150" s="13" t="s">
        <v>774</v>
      </c>
      <c r="S150" s="18" t="s">
        <v>2086</v>
      </c>
    </row>
    <row r="151" spans="1:19" ht="52.05" customHeight="1">
      <c r="A151" s="14" t="s">
        <v>422</v>
      </c>
      <c r="B151" s="13">
        <v>2023</v>
      </c>
      <c r="C151" s="15">
        <v>350</v>
      </c>
      <c r="D151" s="13" t="s">
        <v>1041</v>
      </c>
      <c r="E151" s="13" t="s">
        <v>35</v>
      </c>
      <c r="F151" s="13" t="s">
        <v>1042</v>
      </c>
      <c r="G151" s="13" t="s">
        <v>761</v>
      </c>
      <c r="H151" s="13">
        <v>20</v>
      </c>
      <c r="I151" s="16">
        <v>387</v>
      </c>
      <c r="J151" s="16"/>
      <c r="K151" s="16"/>
      <c r="L151" s="16">
        <v>24</v>
      </c>
      <c r="M151" s="16">
        <v>1.2</v>
      </c>
      <c r="N151" s="13"/>
      <c r="O151" s="13"/>
      <c r="P151" s="13"/>
      <c r="Q151" s="13"/>
      <c r="R151" s="13" t="s">
        <v>774</v>
      </c>
      <c r="S151" s="18" t="s">
        <v>2086</v>
      </c>
    </row>
    <row r="152" spans="1:19" ht="52.05" customHeight="1">
      <c r="A152" s="14" t="s">
        <v>422</v>
      </c>
      <c r="B152" s="13">
        <v>2024</v>
      </c>
      <c r="C152" s="15">
        <v>350</v>
      </c>
      <c r="D152" s="13" t="s">
        <v>868</v>
      </c>
      <c r="E152" s="13" t="s">
        <v>763</v>
      </c>
      <c r="F152" s="13" t="s">
        <v>1043</v>
      </c>
      <c r="G152" s="13" t="s">
        <v>1044</v>
      </c>
      <c r="H152" s="13">
        <v>21</v>
      </c>
      <c r="I152" s="16">
        <v>371</v>
      </c>
      <c r="J152" s="16">
        <v>390</v>
      </c>
      <c r="K152" s="16">
        <v>426</v>
      </c>
      <c r="L152" s="16">
        <v>27</v>
      </c>
      <c r="M152" s="16">
        <v>1.2857142857142858</v>
      </c>
      <c r="N152" s="13"/>
      <c r="O152" s="13"/>
      <c r="P152" s="13"/>
      <c r="Q152" s="13"/>
      <c r="R152" s="13" t="s">
        <v>774</v>
      </c>
      <c r="S152" s="18" t="s">
        <v>2087</v>
      </c>
    </row>
    <row r="153" spans="1:19" ht="52.05" customHeight="1">
      <c r="A153" s="14" t="s">
        <v>422</v>
      </c>
      <c r="B153" s="13">
        <v>2025</v>
      </c>
      <c r="C153" s="15">
        <v>345</v>
      </c>
      <c r="D153" s="13" t="s">
        <v>780</v>
      </c>
      <c r="E153" s="13" t="s">
        <v>763</v>
      </c>
      <c r="F153" s="13" t="s">
        <v>1045</v>
      </c>
      <c r="G153" s="13" t="s">
        <v>1046</v>
      </c>
      <c r="H153" s="13">
        <v>16</v>
      </c>
      <c r="I153" s="16">
        <v>380</v>
      </c>
      <c r="J153" s="16"/>
      <c r="K153" s="16"/>
      <c r="L153" s="16">
        <v>21</v>
      </c>
      <c r="M153" s="16">
        <v>1.3125</v>
      </c>
      <c r="N153" s="13"/>
      <c r="O153" s="13"/>
      <c r="P153" s="13"/>
      <c r="Q153" s="13"/>
      <c r="R153" s="13" t="s">
        <v>774</v>
      </c>
      <c r="S153" s="18" t="s">
        <v>2086</v>
      </c>
    </row>
    <row r="154" spans="1:19" ht="52.05" customHeight="1">
      <c r="A154" s="14" t="s">
        <v>422</v>
      </c>
      <c r="B154" s="13">
        <v>2026</v>
      </c>
      <c r="C154" s="15">
        <v>340</v>
      </c>
      <c r="D154" s="13" t="s">
        <v>1047</v>
      </c>
      <c r="E154" s="13" t="s">
        <v>823</v>
      </c>
      <c r="F154" s="13" t="s">
        <v>1048</v>
      </c>
      <c r="G154" s="13" t="s">
        <v>1049</v>
      </c>
      <c r="H154" s="13"/>
      <c r="I154" s="16"/>
      <c r="J154" s="16"/>
      <c r="K154" s="16"/>
      <c r="L154" s="16"/>
      <c r="M154" s="16"/>
      <c r="N154" s="13"/>
      <c r="O154" s="13"/>
      <c r="P154" s="13"/>
      <c r="Q154" s="13"/>
      <c r="R154" s="13" t="s">
        <v>774</v>
      </c>
      <c r="S154" s="18" t="s">
        <v>2086</v>
      </c>
    </row>
    <row r="155" spans="1:19" ht="52.05" customHeight="1">
      <c r="A155" s="14" t="s">
        <v>434</v>
      </c>
      <c r="B155" s="13">
        <v>2022</v>
      </c>
      <c r="C155" s="15">
        <v>400</v>
      </c>
      <c r="D155" s="13" t="s">
        <v>788</v>
      </c>
      <c r="E155" s="13" t="s">
        <v>755</v>
      </c>
      <c r="F155" s="13" t="s">
        <v>756</v>
      </c>
      <c r="G155" s="13" t="s">
        <v>757</v>
      </c>
      <c r="H155" s="13">
        <v>12</v>
      </c>
      <c r="I155" s="16"/>
      <c r="J155" s="16"/>
      <c r="K155" s="16"/>
      <c r="L155" s="16">
        <v>18</v>
      </c>
      <c r="M155" s="16">
        <v>1.5</v>
      </c>
      <c r="N155" s="13"/>
      <c r="O155" s="13"/>
      <c r="P155" s="13"/>
      <c r="Q155" s="13"/>
      <c r="R155" s="13" t="s">
        <v>774</v>
      </c>
      <c r="S155" s="18" t="s">
        <v>2098</v>
      </c>
    </row>
    <row r="156" spans="1:19" ht="52.05" customHeight="1">
      <c r="A156" s="14" t="s">
        <v>434</v>
      </c>
      <c r="B156" s="13">
        <v>2023</v>
      </c>
      <c r="C156" s="15">
        <v>350</v>
      </c>
      <c r="D156" s="18" t="s">
        <v>2099</v>
      </c>
      <c r="E156" s="18" t="s">
        <v>2078</v>
      </c>
      <c r="F156" s="13" t="s">
        <v>843</v>
      </c>
      <c r="G156" s="13" t="s">
        <v>761</v>
      </c>
      <c r="H156" s="13">
        <v>13</v>
      </c>
      <c r="I156" s="16">
        <v>351</v>
      </c>
      <c r="J156" s="16">
        <v>385</v>
      </c>
      <c r="K156" s="16">
        <v>405</v>
      </c>
      <c r="L156" s="16">
        <v>17</v>
      </c>
      <c r="M156" s="16">
        <v>1.3076923076923077</v>
      </c>
      <c r="N156" s="13"/>
      <c r="O156" s="13"/>
      <c r="P156" s="13"/>
      <c r="Q156" s="13"/>
      <c r="R156" s="13" t="s">
        <v>774</v>
      </c>
      <c r="S156" s="18" t="s">
        <v>2100</v>
      </c>
    </row>
    <row r="157" spans="1:19" ht="52.05" customHeight="1">
      <c r="A157" s="14" t="s">
        <v>434</v>
      </c>
      <c r="B157" s="13">
        <v>2024</v>
      </c>
      <c r="C157" s="15">
        <v>338</v>
      </c>
      <c r="D157" s="13" t="s">
        <v>908</v>
      </c>
      <c r="E157" s="13" t="s">
        <v>763</v>
      </c>
      <c r="F157" s="13" t="s">
        <v>1050</v>
      </c>
      <c r="G157" s="13" t="s">
        <v>1051</v>
      </c>
      <c r="H157" s="13">
        <v>9</v>
      </c>
      <c r="I157" s="16">
        <v>347</v>
      </c>
      <c r="J157" s="16">
        <v>357</v>
      </c>
      <c r="K157" s="16">
        <v>403</v>
      </c>
      <c r="L157" s="16">
        <v>10</v>
      </c>
      <c r="M157" s="16">
        <v>1.1111111111111112</v>
      </c>
      <c r="N157" s="13"/>
      <c r="O157" s="13"/>
      <c r="P157" s="13"/>
      <c r="Q157" s="13"/>
      <c r="R157" s="13" t="s">
        <v>774</v>
      </c>
      <c r="S157" s="18" t="s">
        <v>2101</v>
      </c>
    </row>
    <row r="158" spans="1:19" ht="52.05" customHeight="1">
      <c r="A158" s="14" t="s">
        <v>434</v>
      </c>
      <c r="B158" s="13">
        <v>2025</v>
      </c>
      <c r="C158" s="15">
        <v>323</v>
      </c>
      <c r="D158" s="13" t="s">
        <v>848</v>
      </c>
      <c r="E158" s="13" t="s">
        <v>763</v>
      </c>
      <c r="F158" s="13" t="s">
        <v>1052</v>
      </c>
      <c r="G158" s="13" t="s">
        <v>1053</v>
      </c>
      <c r="H158" s="13">
        <v>10</v>
      </c>
      <c r="I158" s="16">
        <v>375</v>
      </c>
      <c r="J158" s="16">
        <v>380</v>
      </c>
      <c r="K158" s="16">
        <v>397</v>
      </c>
      <c r="L158" s="16">
        <v>15</v>
      </c>
      <c r="M158" s="16">
        <v>1.5</v>
      </c>
      <c r="N158" s="13"/>
      <c r="O158" s="13"/>
      <c r="P158" s="13"/>
      <c r="Q158" s="13"/>
      <c r="R158" s="13" t="s">
        <v>774</v>
      </c>
      <c r="S158" s="18" t="s">
        <v>2102</v>
      </c>
    </row>
    <row r="159" spans="1:19" ht="52.05" customHeight="1">
      <c r="A159" s="14" t="s">
        <v>434</v>
      </c>
      <c r="B159" s="13">
        <v>2026</v>
      </c>
      <c r="C159" s="15">
        <v>324</v>
      </c>
      <c r="D159" s="13" t="s">
        <v>851</v>
      </c>
      <c r="E159" s="13" t="s">
        <v>763</v>
      </c>
      <c r="F159" s="13" t="s">
        <v>1054</v>
      </c>
      <c r="G159" s="13" t="s">
        <v>1055</v>
      </c>
      <c r="H159" s="13">
        <v>14</v>
      </c>
      <c r="I159" s="16">
        <v>355</v>
      </c>
      <c r="J159" s="16">
        <v>395.5</v>
      </c>
      <c r="K159" s="16">
        <v>412</v>
      </c>
      <c r="L159" s="16">
        <v>22</v>
      </c>
      <c r="M159" s="16">
        <v>1.5714285714285714</v>
      </c>
      <c r="N159" s="13"/>
      <c r="O159" s="13"/>
      <c r="P159" s="13"/>
      <c r="Q159" s="13"/>
      <c r="R159" s="13" t="s">
        <v>774</v>
      </c>
      <c r="S159" s="18" t="s">
        <v>2103</v>
      </c>
    </row>
    <row r="160" spans="1:19" ht="52.05" customHeight="1">
      <c r="A160" s="14" t="s">
        <v>438</v>
      </c>
      <c r="B160" s="13">
        <v>2022</v>
      </c>
      <c r="C160" s="15">
        <v>370</v>
      </c>
      <c r="D160" s="13" t="s">
        <v>884</v>
      </c>
      <c r="E160" s="13" t="s">
        <v>755</v>
      </c>
      <c r="F160" s="13" t="s">
        <v>756</v>
      </c>
      <c r="G160" s="13" t="s">
        <v>757</v>
      </c>
      <c r="H160" s="13">
        <v>52</v>
      </c>
      <c r="I160" s="16"/>
      <c r="J160" s="16"/>
      <c r="K160" s="16"/>
      <c r="L160" s="16">
        <v>62</v>
      </c>
      <c r="M160" s="16">
        <v>1.1923076923076923</v>
      </c>
      <c r="N160" s="13"/>
      <c r="O160" s="13"/>
      <c r="P160" s="13"/>
      <c r="Q160" s="13"/>
      <c r="R160" s="13" t="s">
        <v>774</v>
      </c>
      <c r="S160" s="18" t="s">
        <v>2026</v>
      </c>
    </row>
    <row r="161" spans="1:19" ht="52.05" customHeight="1">
      <c r="A161" s="14" t="s">
        <v>438</v>
      </c>
      <c r="B161" s="13">
        <v>2023</v>
      </c>
      <c r="C161" s="15">
        <v>360</v>
      </c>
      <c r="D161" s="13" t="s">
        <v>1056</v>
      </c>
      <c r="E161" s="13" t="s">
        <v>35</v>
      </c>
      <c r="F161" s="13" t="s">
        <v>1057</v>
      </c>
      <c r="G161" s="13" t="s">
        <v>761</v>
      </c>
      <c r="H161" s="13">
        <v>60</v>
      </c>
      <c r="I161" s="16"/>
      <c r="J161" s="16"/>
      <c r="K161" s="16"/>
      <c r="L161" s="16">
        <v>72</v>
      </c>
      <c r="M161" s="16">
        <v>1.2</v>
      </c>
      <c r="N161" s="13"/>
      <c r="O161" s="13"/>
      <c r="P161" s="13"/>
      <c r="Q161" s="13"/>
      <c r="R161" s="13" t="s">
        <v>774</v>
      </c>
      <c r="S161" s="18" t="s">
        <v>2026</v>
      </c>
    </row>
    <row r="162" spans="1:19" ht="52.05" customHeight="1">
      <c r="A162" s="14" t="s">
        <v>438</v>
      </c>
      <c r="B162" s="13">
        <v>2024</v>
      </c>
      <c r="C162" s="15">
        <v>365</v>
      </c>
      <c r="D162" s="13" t="s">
        <v>878</v>
      </c>
      <c r="E162" s="13" t="s">
        <v>763</v>
      </c>
      <c r="F162" s="13" t="s">
        <v>1058</v>
      </c>
      <c r="G162" s="13" t="s">
        <v>1059</v>
      </c>
      <c r="H162" s="13">
        <v>56</v>
      </c>
      <c r="I162" s="16">
        <v>366</v>
      </c>
      <c r="J162" s="16">
        <v>397.5</v>
      </c>
      <c r="K162" s="16">
        <v>439</v>
      </c>
      <c r="L162" s="16">
        <v>61</v>
      </c>
      <c r="M162" s="16">
        <v>1.0892857142857142</v>
      </c>
      <c r="N162" s="13"/>
      <c r="O162" s="13"/>
      <c r="P162" s="13"/>
      <c r="Q162" s="13"/>
      <c r="R162" s="13" t="s">
        <v>774</v>
      </c>
      <c r="S162" s="18" t="s">
        <v>2027</v>
      </c>
    </row>
    <row r="163" spans="1:19" ht="52.05" customHeight="1">
      <c r="A163" s="14" t="s">
        <v>438</v>
      </c>
      <c r="B163" s="13">
        <v>2025</v>
      </c>
      <c r="C163" s="15">
        <v>355</v>
      </c>
      <c r="D163" s="13" t="s">
        <v>806</v>
      </c>
      <c r="E163" s="13" t="s">
        <v>763</v>
      </c>
      <c r="F163" s="13" t="s">
        <v>1060</v>
      </c>
      <c r="G163" s="13" t="s">
        <v>1061</v>
      </c>
      <c r="H163" s="13">
        <v>77</v>
      </c>
      <c r="I163" s="16">
        <v>356</v>
      </c>
      <c r="J163" s="16"/>
      <c r="K163" s="16"/>
      <c r="L163" s="16">
        <v>87</v>
      </c>
      <c r="M163" s="16">
        <v>1.1298701298701299</v>
      </c>
      <c r="N163" s="13"/>
      <c r="O163" s="13"/>
      <c r="P163" s="13"/>
      <c r="Q163" s="13"/>
      <c r="R163" s="13" t="s">
        <v>774</v>
      </c>
      <c r="S163" s="18" t="s">
        <v>2026</v>
      </c>
    </row>
    <row r="164" spans="1:19" ht="52.05" customHeight="1">
      <c r="A164" s="14" t="s">
        <v>438</v>
      </c>
      <c r="B164" s="13">
        <v>2026</v>
      </c>
      <c r="C164" s="15">
        <v>370</v>
      </c>
      <c r="D164" s="13" t="s">
        <v>803</v>
      </c>
      <c r="E164" s="13" t="s">
        <v>763</v>
      </c>
      <c r="F164" s="13" t="s">
        <v>1062</v>
      </c>
      <c r="G164" s="13" t="s">
        <v>1063</v>
      </c>
      <c r="H164" s="13">
        <v>68</v>
      </c>
      <c r="I164" s="16">
        <v>370</v>
      </c>
      <c r="J164" s="16">
        <v>412</v>
      </c>
      <c r="K164" s="16">
        <v>463</v>
      </c>
      <c r="L164" s="16">
        <v>85</v>
      </c>
      <c r="M164" s="16">
        <v>1.25</v>
      </c>
      <c r="N164" s="13"/>
      <c r="O164" s="13"/>
      <c r="P164" s="13"/>
      <c r="Q164" s="13"/>
      <c r="R164" s="13" t="s">
        <v>774</v>
      </c>
      <c r="S164" s="18" t="s">
        <v>2028</v>
      </c>
    </row>
    <row r="165" spans="1:19" ht="52.05" customHeight="1">
      <c r="A165" s="14" t="s">
        <v>443</v>
      </c>
      <c r="B165" s="13">
        <v>2022</v>
      </c>
      <c r="C165" s="15"/>
      <c r="D165" s="13" t="s">
        <v>981</v>
      </c>
      <c r="E165" s="13" t="s">
        <v>969</v>
      </c>
      <c r="F165" s="13"/>
      <c r="G165" s="13" t="s">
        <v>757</v>
      </c>
      <c r="H165" s="13"/>
      <c r="I165" s="16"/>
      <c r="J165" s="16"/>
      <c r="K165" s="16"/>
      <c r="L165" s="16"/>
      <c r="M165" s="16"/>
      <c r="N165" s="13"/>
      <c r="O165" s="13"/>
      <c r="P165" s="13"/>
      <c r="Q165" s="13"/>
      <c r="R165" s="13" t="s">
        <v>774</v>
      </c>
      <c r="S165" s="18" t="s">
        <v>2104</v>
      </c>
    </row>
    <row r="166" spans="1:19" ht="52.05" customHeight="1">
      <c r="A166" s="14" t="s">
        <v>443</v>
      </c>
      <c r="B166" s="13">
        <v>2023</v>
      </c>
      <c r="C166" s="15"/>
      <c r="D166" s="13" t="s">
        <v>841</v>
      </c>
      <c r="E166" s="13" t="s">
        <v>842</v>
      </c>
      <c r="F166" s="13" t="s">
        <v>843</v>
      </c>
      <c r="G166" s="13" t="s">
        <v>761</v>
      </c>
      <c r="H166" s="13"/>
      <c r="I166" s="16"/>
      <c r="J166" s="16"/>
      <c r="K166" s="16"/>
      <c r="L166" s="16"/>
      <c r="M166" s="16"/>
      <c r="N166" s="13"/>
      <c r="O166" s="13"/>
      <c r="P166" s="13"/>
      <c r="Q166" s="13"/>
      <c r="R166" s="13" t="s">
        <v>774</v>
      </c>
      <c r="S166" s="18" t="s">
        <v>2104</v>
      </c>
    </row>
    <row r="167" spans="1:19" ht="52.05" customHeight="1">
      <c r="A167" s="14" t="s">
        <v>443</v>
      </c>
      <c r="B167" s="13">
        <v>2024</v>
      </c>
      <c r="C167" s="15"/>
      <c r="D167" s="13" t="s">
        <v>968</v>
      </c>
      <c r="E167" s="13" t="s">
        <v>969</v>
      </c>
      <c r="F167" s="13"/>
      <c r="G167" s="13" t="s">
        <v>970</v>
      </c>
      <c r="H167" s="13"/>
      <c r="I167" s="16"/>
      <c r="J167" s="16"/>
      <c r="K167" s="16"/>
      <c r="L167" s="16"/>
      <c r="M167" s="16"/>
      <c r="N167" s="13"/>
      <c r="O167" s="13"/>
      <c r="P167" s="13"/>
      <c r="Q167" s="13"/>
      <c r="R167" s="13" t="s">
        <v>774</v>
      </c>
      <c r="S167" s="18" t="s">
        <v>2104</v>
      </c>
    </row>
    <row r="168" spans="1:19" ht="52.05" customHeight="1">
      <c r="A168" s="14" t="s">
        <v>443</v>
      </c>
      <c r="B168" s="13">
        <v>2025</v>
      </c>
      <c r="C168" s="15">
        <v>323</v>
      </c>
      <c r="D168" s="13" t="s">
        <v>848</v>
      </c>
      <c r="E168" s="13" t="s">
        <v>763</v>
      </c>
      <c r="F168" s="13" t="s">
        <v>1064</v>
      </c>
      <c r="G168" s="13" t="s">
        <v>1065</v>
      </c>
      <c r="H168" s="13">
        <v>19</v>
      </c>
      <c r="I168" s="16">
        <v>358</v>
      </c>
      <c r="J168" s="16"/>
      <c r="K168" s="16"/>
      <c r="L168" s="16">
        <v>28</v>
      </c>
      <c r="M168" s="16">
        <v>1.4736842105263157</v>
      </c>
      <c r="N168" s="13"/>
      <c r="O168" s="13"/>
      <c r="P168" s="13"/>
      <c r="Q168" s="13"/>
      <c r="R168" s="13" t="s">
        <v>774</v>
      </c>
      <c r="S168" s="18" t="s">
        <v>2104</v>
      </c>
    </row>
    <row r="169" spans="1:19" ht="52.05" customHeight="1">
      <c r="A169" s="14" t="s">
        <v>443</v>
      </c>
      <c r="B169" s="13">
        <v>2026</v>
      </c>
      <c r="C169" s="15">
        <v>324</v>
      </c>
      <c r="D169" s="13" t="s">
        <v>851</v>
      </c>
      <c r="E169" s="13" t="s">
        <v>763</v>
      </c>
      <c r="F169" s="13" t="s">
        <v>1066</v>
      </c>
      <c r="G169" s="13" t="s">
        <v>1067</v>
      </c>
      <c r="H169" s="13">
        <v>22</v>
      </c>
      <c r="I169" s="16">
        <v>395</v>
      </c>
      <c r="J169" s="16">
        <v>419</v>
      </c>
      <c r="K169" s="16">
        <v>450</v>
      </c>
      <c r="L169" s="16">
        <v>35</v>
      </c>
      <c r="M169" s="16">
        <v>1.5909090909090908</v>
      </c>
      <c r="N169" s="13"/>
      <c r="O169" s="13"/>
      <c r="P169" s="13"/>
      <c r="Q169" s="13"/>
      <c r="R169" s="13" t="s">
        <v>774</v>
      </c>
      <c r="S169" s="18" t="s">
        <v>2105</v>
      </c>
    </row>
    <row r="170" spans="1:19" ht="52.05" customHeight="1">
      <c r="A170" s="14" t="s">
        <v>447</v>
      </c>
      <c r="B170" s="13">
        <v>2022</v>
      </c>
      <c r="C170" s="15"/>
      <c r="D170" s="13" t="s">
        <v>981</v>
      </c>
      <c r="E170" s="13" t="s">
        <v>969</v>
      </c>
      <c r="F170" s="13"/>
      <c r="G170" s="13" t="s">
        <v>757</v>
      </c>
      <c r="H170" s="13"/>
      <c r="I170" s="16"/>
      <c r="J170" s="16"/>
      <c r="K170" s="16"/>
      <c r="L170" s="16"/>
      <c r="M170" s="16"/>
      <c r="N170" s="13"/>
      <c r="O170" s="13"/>
      <c r="P170" s="13"/>
      <c r="Q170" s="13"/>
      <c r="R170" s="13" t="s">
        <v>774</v>
      </c>
      <c r="S170" s="18" t="s">
        <v>2106</v>
      </c>
    </row>
    <row r="171" spans="1:19" ht="52.05" customHeight="1">
      <c r="A171" s="14" t="s">
        <v>447</v>
      </c>
      <c r="B171" s="13">
        <v>2023</v>
      </c>
      <c r="C171" s="15"/>
      <c r="D171" s="13" t="s">
        <v>841</v>
      </c>
      <c r="E171" s="13" t="s">
        <v>842</v>
      </c>
      <c r="F171" s="13" t="s">
        <v>843</v>
      </c>
      <c r="G171" s="13" t="s">
        <v>761</v>
      </c>
      <c r="H171" s="13"/>
      <c r="I171" s="16"/>
      <c r="J171" s="16"/>
      <c r="K171" s="16"/>
      <c r="L171" s="16"/>
      <c r="M171" s="16"/>
      <c r="N171" s="13"/>
      <c r="O171" s="13"/>
      <c r="P171" s="13"/>
      <c r="Q171" s="13"/>
      <c r="R171" s="13" t="s">
        <v>774</v>
      </c>
      <c r="S171" s="18" t="s">
        <v>2106</v>
      </c>
    </row>
    <row r="172" spans="1:19" ht="52.05" customHeight="1">
      <c r="A172" s="14" t="s">
        <v>447</v>
      </c>
      <c r="B172" s="13">
        <v>2024</v>
      </c>
      <c r="C172" s="15"/>
      <c r="D172" s="13" t="s">
        <v>968</v>
      </c>
      <c r="E172" s="13" t="s">
        <v>969</v>
      </c>
      <c r="F172" s="13"/>
      <c r="G172" s="13" t="s">
        <v>970</v>
      </c>
      <c r="H172" s="13"/>
      <c r="I172" s="16"/>
      <c r="J172" s="16"/>
      <c r="K172" s="16"/>
      <c r="L172" s="16"/>
      <c r="M172" s="16"/>
      <c r="N172" s="13"/>
      <c r="O172" s="13"/>
      <c r="P172" s="13"/>
      <c r="Q172" s="13"/>
      <c r="R172" s="13" t="s">
        <v>774</v>
      </c>
      <c r="S172" s="18" t="s">
        <v>2106</v>
      </c>
    </row>
    <row r="173" spans="1:19" ht="52.05" customHeight="1">
      <c r="A173" s="14" t="s">
        <v>447</v>
      </c>
      <c r="B173" s="13">
        <v>2025</v>
      </c>
      <c r="C173" s="15">
        <v>323</v>
      </c>
      <c r="D173" s="13" t="s">
        <v>848</v>
      </c>
      <c r="E173" s="13" t="s">
        <v>763</v>
      </c>
      <c r="F173" s="13" t="s">
        <v>1068</v>
      </c>
      <c r="G173" s="13" t="s">
        <v>1069</v>
      </c>
      <c r="H173" s="13">
        <v>7</v>
      </c>
      <c r="I173" s="16">
        <v>344</v>
      </c>
      <c r="J173" s="16">
        <v>373</v>
      </c>
      <c r="K173" s="16">
        <v>408</v>
      </c>
      <c r="L173" s="16">
        <v>7</v>
      </c>
      <c r="M173" s="16">
        <v>1</v>
      </c>
      <c r="N173" s="13"/>
      <c r="O173" s="13"/>
      <c r="P173" s="13"/>
      <c r="Q173" s="13"/>
      <c r="R173" s="13" t="s">
        <v>774</v>
      </c>
      <c r="S173" s="18" t="s">
        <v>2107</v>
      </c>
    </row>
    <row r="174" spans="1:19" ht="52.05" customHeight="1">
      <c r="A174" s="14" t="s">
        <v>447</v>
      </c>
      <c r="B174" s="13">
        <v>2026</v>
      </c>
      <c r="C174" s="15">
        <v>324</v>
      </c>
      <c r="D174" s="13" t="s">
        <v>851</v>
      </c>
      <c r="E174" s="13" t="s">
        <v>763</v>
      </c>
      <c r="F174" s="13" t="s">
        <v>1070</v>
      </c>
      <c r="G174" s="13" t="s">
        <v>1071</v>
      </c>
      <c r="H174" s="13">
        <v>15</v>
      </c>
      <c r="I174" s="16">
        <v>375</v>
      </c>
      <c r="J174" s="16">
        <v>394</v>
      </c>
      <c r="K174" s="16">
        <v>423</v>
      </c>
      <c r="L174" s="16">
        <v>21</v>
      </c>
      <c r="M174" s="16">
        <v>1.4</v>
      </c>
      <c r="N174" s="13"/>
      <c r="O174" s="13"/>
      <c r="P174" s="13"/>
      <c r="Q174" s="13"/>
      <c r="R174" s="13" t="s">
        <v>774</v>
      </c>
      <c r="S174" s="18" t="s">
        <v>2108</v>
      </c>
    </row>
    <row r="175" spans="1:19" ht="52.05" customHeight="1">
      <c r="A175" s="14" t="s">
        <v>450</v>
      </c>
      <c r="B175" s="13">
        <v>2022</v>
      </c>
      <c r="C175" s="15">
        <v>369</v>
      </c>
      <c r="D175" s="13" t="s">
        <v>1072</v>
      </c>
      <c r="E175" s="13" t="s">
        <v>755</v>
      </c>
      <c r="F175" s="13" t="s">
        <v>756</v>
      </c>
      <c r="G175" s="13" t="s">
        <v>757</v>
      </c>
      <c r="H175" s="13">
        <v>17</v>
      </c>
      <c r="I175" s="16"/>
      <c r="J175" s="16"/>
      <c r="K175" s="16"/>
      <c r="L175" s="16">
        <v>23</v>
      </c>
      <c r="M175" s="16">
        <v>1.3529411764705883</v>
      </c>
      <c r="N175" s="13"/>
      <c r="O175" s="13"/>
      <c r="P175" s="13"/>
      <c r="Q175" s="13"/>
      <c r="R175" s="13" t="s">
        <v>774</v>
      </c>
      <c r="S175" s="18" t="s">
        <v>2109</v>
      </c>
    </row>
    <row r="176" spans="1:19" ht="52.05" customHeight="1">
      <c r="A176" s="14" t="s">
        <v>450</v>
      </c>
      <c r="B176" s="13">
        <v>2023</v>
      </c>
      <c r="C176" s="15">
        <v>388</v>
      </c>
      <c r="D176" s="18" t="s">
        <v>2110</v>
      </c>
      <c r="E176" s="18" t="s">
        <v>2078</v>
      </c>
      <c r="F176" s="13" t="s">
        <v>843</v>
      </c>
      <c r="G176" s="13" t="s">
        <v>761</v>
      </c>
      <c r="H176" s="13">
        <v>19</v>
      </c>
      <c r="I176" s="16">
        <v>390</v>
      </c>
      <c r="J176" s="16"/>
      <c r="K176" s="16"/>
      <c r="L176" s="16">
        <v>20</v>
      </c>
      <c r="M176" s="16">
        <v>1.0526315789473684</v>
      </c>
      <c r="N176" s="13"/>
      <c r="O176" s="13"/>
      <c r="P176" s="13"/>
      <c r="Q176" s="13"/>
      <c r="R176" s="13" t="s">
        <v>774</v>
      </c>
      <c r="S176" s="18" t="s">
        <v>2109</v>
      </c>
    </row>
    <row r="177" spans="1:19" ht="52.05" customHeight="1">
      <c r="A177" s="14" t="s">
        <v>450</v>
      </c>
      <c r="B177" s="13">
        <v>2024</v>
      </c>
      <c r="C177" s="15">
        <v>338</v>
      </c>
      <c r="D177" s="13" t="s">
        <v>908</v>
      </c>
      <c r="E177" s="13" t="s">
        <v>763</v>
      </c>
      <c r="F177" s="13" t="s">
        <v>1073</v>
      </c>
      <c r="G177" s="13" t="s">
        <v>1074</v>
      </c>
      <c r="H177" s="13">
        <v>11</v>
      </c>
      <c r="I177" s="16">
        <v>397</v>
      </c>
      <c r="J177" s="16"/>
      <c r="K177" s="16"/>
      <c r="L177" s="16">
        <v>14</v>
      </c>
      <c r="M177" s="16">
        <v>1.2727272727272727</v>
      </c>
      <c r="N177" s="13"/>
      <c r="O177" s="13"/>
      <c r="P177" s="13"/>
      <c r="Q177" s="13"/>
      <c r="R177" s="13" t="s">
        <v>774</v>
      </c>
      <c r="S177" s="18" t="s">
        <v>2109</v>
      </c>
    </row>
    <row r="178" spans="1:19" ht="52.05" customHeight="1">
      <c r="A178" s="14" t="s">
        <v>450</v>
      </c>
      <c r="B178" s="13">
        <v>2025</v>
      </c>
      <c r="C178" s="15">
        <v>323</v>
      </c>
      <c r="D178" s="13" t="s">
        <v>848</v>
      </c>
      <c r="E178" s="13" t="s">
        <v>763</v>
      </c>
      <c r="F178" s="13" t="s">
        <v>1075</v>
      </c>
      <c r="G178" s="13" t="s">
        <v>1076</v>
      </c>
      <c r="H178" s="13">
        <v>15</v>
      </c>
      <c r="I178" s="16">
        <v>370</v>
      </c>
      <c r="J178" s="16"/>
      <c r="K178" s="16"/>
      <c r="L178" s="16">
        <v>19</v>
      </c>
      <c r="M178" s="16">
        <v>1.2666666666666666</v>
      </c>
      <c r="N178" s="13"/>
      <c r="O178" s="13"/>
      <c r="P178" s="13"/>
      <c r="Q178" s="13"/>
      <c r="R178" s="13" t="s">
        <v>774</v>
      </c>
      <c r="S178" s="18" t="s">
        <v>2109</v>
      </c>
    </row>
    <row r="179" spans="1:19" ht="52.05" customHeight="1">
      <c r="A179" s="14" t="s">
        <v>450</v>
      </c>
      <c r="B179" s="13">
        <v>2026</v>
      </c>
      <c r="C179" s="15">
        <v>324</v>
      </c>
      <c r="D179" s="13" t="s">
        <v>851</v>
      </c>
      <c r="E179" s="13" t="s">
        <v>763</v>
      </c>
      <c r="F179" s="13" t="s">
        <v>1077</v>
      </c>
      <c r="G179" s="13" t="s">
        <v>1078</v>
      </c>
      <c r="H179" s="13">
        <v>11</v>
      </c>
      <c r="I179" s="16">
        <v>398</v>
      </c>
      <c r="J179" s="16">
        <v>409</v>
      </c>
      <c r="K179" s="16">
        <v>427</v>
      </c>
      <c r="L179" s="16">
        <v>13</v>
      </c>
      <c r="M179" s="16">
        <v>1.1818181818181821</v>
      </c>
      <c r="N179" s="13"/>
      <c r="O179" s="13"/>
      <c r="P179" s="13"/>
      <c r="Q179" s="13"/>
      <c r="R179" s="13" t="s">
        <v>774</v>
      </c>
      <c r="S179" s="18" t="s">
        <v>2111</v>
      </c>
    </row>
    <row r="180" spans="1:19" ht="52.05" customHeight="1">
      <c r="A180" s="14" t="s">
        <v>462</v>
      </c>
      <c r="B180" s="13">
        <v>2022</v>
      </c>
      <c r="C180" s="15">
        <v>381</v>
      </c>
      <c r="D180" s="13" t="s">
        <v>1079</v>
      </c>
      <c r="E180" s="13" t="s">
        <v>755</v>
      </c>
      <c r="F180" s="13" t="s">
        <v>756</v>
      </c>
      <c r="G180" s="13" t="s">
        <v>757</v>
      </c>
      <c r="H180" s="13">
        <v>56</v>
      </c>
      <c r="I180" s="16"/>
      <c r="J180" s="16"/>
      <c r="K180" s="16"/>
      <c r="L180" s="16">
        <v>86</v>
      </c>
      <c r="M180" s="16">
        <v>1.5357142857142858</v>
      </c>
      <c r="N180" s="13"/>
      <c r="O180" s="13"/>
      <c r="P180" s="13"/>
      <c r="Q180" s="13"/>
      <c r="R180" s="13" t="s">
        <v>774</v>
      </c>
      <c r="S180" s="18" t="s">
        <v>2112</v>
      </c>
    </row>
    <row r="181" spans="1:19" ht="52.05" customHeight="1">
      <c r="A181" s="14" t="s">
        <v>462</v>
      </c>
      <c r="B181" s="13">
        <v>2023</v>
      </c>
      <c r="C181" s="15">
        <v>389</v>
      </c>
      <c r="D181" s="18" t="s">
        <v>2113</v>
      </c>
      <c r="E181" s="18" t="s">
        <v>2078</v>
      </c>
      <c r="F181" s="13" t="s">
        <v>843</v>
      </c>
      <c r="G181" s="13" t="s">
        <v>761</v>
      </c>
      <c r="H181" s="13">
        <v>50</v>
      </c>
      <c r="I181" s="16">
        <v>389</v>
      </c>
      <c r="J181" s="16"/>
      <c r="K181" s="16"/>
      <c r="L181" s="16">
        <v>82</v>
      </c>
      <c r="M181" s="16">
        <v>1.64</v>
      </c>
      <c r="N181" s="13"/>
      <c r="O181" s="13"/>
      <c r="P181" s="13"/>
      <c r="Q181" s="13"/>
      <c r="R181" s="13" t="s">
        <v>774</v>
      </c>
      <c r="S181" s="18" t="s">
        <v>2112</v>
      </c>
    </row>
    <row r="182" spans="1:19" ht="52.05" customHeight="1">
      <c r="A182" s="14" t="s">
        <v>462</v>
      </c>
      <c r="B182" s="13">
        <v>2024</v>
      </c>
      <c r="C182" s="15">
        <v>338</v>
      </c>
      <c r="D182" s="13" t="s">
        <v>908</v>
      </c>
      <c r="E182" s="13" t="s">
        <v>763</v>
      </c>
      <c r="F182" s="13" t="s">
        <v>1080</v>
      </c>
      <c r="G182" s="13" t="s">
        <v>1081</v>
      </c>
      <c r="H182" s="13">
        <v>58</v>
      </c>
      <c r="I182" s="16">
        <v>364</v>
      </c>
      <c r="J182" s="16"/>
      <c r="K182" s="16"/>
      <c r="L182" s="16">
        <v>87</v>
      </c>
      <c r="M182" s="16">
        <v>1.5</v>
      </c>
      <c r="N182" s="13"/>
      <c r="O182" s="13"/>
      <c r="P182" s="13"/>
      <c r="Q182" s="13"/>
      <c r="R182" s="13" t="s">
        <v>774</v>
      </c>
      <c r="S182" s="18" t="s">
        <v>2112</v>
      </c>
    </row>
    <row r="183" spans="1:19" ht="52.05" customHeight="1">
      <c r="A183" s="14" t="s">
        <v>462</v>
      </c>
      <c r="B183" s="13">
        <v>2025</v>
      </c>
      <c r="C183" s="15">
        <v>323</v>
      </c>
      <c r="D183" s="13" t="s">
        <v>848</v>
      </c>
      <c r="E183" s="13" t="s">
        <v>763</v>
      </c>
      <c r="F183" s="13" t="s">
        <v>1082</v>
      </c>
      <c r="G183" s="13" t="s">
        <v>1083</v>
      </c>
      <c r="H183" s="13">
        <v>46</v>
      </c>
      <c r="I183" s="16">
        <v>323</v>
      </c>
      <c r="J183" s="16">
        <v>354</v>
      </c>
      <c r="K183" s="16">
        <v>397</v>
      </c>
      <c r="L183" s="16">
        <v>66</v>
      </c>
      <c r="M183" s="16">
        <v>1.4347826086956521</v>
      </c>
      <c r="N183" s="13"/>
      <c r="O183" s="13"/>
      <c r="P183" s="13"/>
      <c r="Q183" s="13"/>
      <c r="R183" s="13" t="s">
        <v>774</v>
      </c>
      <c r="S183" s="18" t="s">
        <v>2114</v>
      </c>
    </row>
    <row r="184" spans="1:19" ht="52.05" customHeight="1">
      <c r="A184" s="14" t="s">
        <v>462</v>
      </c>
      <c r="B184" s="13">
        <v>2026</v>
      </c>
      <c r="C184" s="15">
        <v>324</v>
      </c>
      <c r="D184" s="13" t="s">
        <v>851</v>
      </c>
      <c r="E184" s="13" t="s">
        <v>763</v>
      </c>
      <c r="F184" s="13" t="s">
        <v>1084</v>
      </c>
      <c r="G184" s="13" t="s">
        <v>1085</v>
      </c>
      <c r="H184" s="13">
        <v>36</v>
      </c>
      <c r="I184" s="16">
        <v>379</v>
      </c>
      <c r="J184" s="16">
        <v>399.5</v>
      </c>
      <c r="K184" s="16">
        <v>440</v>
      </c>
      <c r="L184" s="16">
        <v>54</v>
      </c>
      <c r="M184" s="16">
        <v>1.5</v>
      </c>
      <c r="N184" s="13"/>
      <c r="O184" s="13"/>
      <c r="P184" s="13"/>
      <c r="Q184" s="13"/>
      <c r="R184" s="13" t="s">
        <v>774</v>
      </c>
      <c r="S184" s="18" t="s">
        <v>2115</v>
      </c>
    </row>
    <row r="185" spans="1:19" ht="52.05" customHeight="1">
      <c r="A185" s="14" t="s">
        <v>478</v>
      </c>
      <c r="B185" s="13">
        <v>2022</v>
      </c>
      <c r="C185" s="15">
        <v>388</v>
      </c>
      <c r="D185" s="13" t="s">
        <v>1086</v>
      </c>
      <c r="E185" s="13" t="s">
        <v>755</v>
      </c>
      <c r="F185" s="13" t="s">
        <v>756</v>
      </c>
      <c r="G185" s="13" t="s">
        <v>757</v>
      </c>
      <c r="H185" s="13">
        <v>13</v>
      </c>
      <c r="I185" s="16">
        <v>406</v>
      </c>
      <c r="J185" s="16"/>
      <c r="K185" s="16"/>
      <c r="L185" s="16">
        <v>23</v>
      </c>
      <c r="M185" s="16">
        <v>1.7692307692307692</v>
      </c>
      <c r="N185" s="13"/>
      <c r="O185" s="13"/>
      <c r="P185" s="13"/>
      <c r="Q185" s="13"/>
      <c r="R185" s="13" t="s">
        <v>774</v>
      </c>
      <c r="S185" s="18" t="s">
        <v>2116</v>
      </c>
    </row>
    <row r="186" spans="1:19" ht="52.05" customHeight="1">
      <c r="A186" s="14" t="s">
        <v>478</v>
      </c>
      <c r="B186" s="13">
        <v>2023</v>
      </c>
      <c r="C186" s="15">
        <v>388</v>
      </c>
      <c r="D186" s="13" t="s">
        <v>1087</v>
      </c>
      <c r="E186" s="13" t="s">
        <v>1088</v>
      </c>
      <c r="F186" s="13" t="s">
        <v>1089</v>
      </c>
      <c r="G186" s="13" t="s">
        <v>761</v>
      </c>
      <c r="H186" s="13">
        <v>11</v>
      </c>
      <c r="I186" s="16">
        <v>388</v>
      </c>
      <c r="J186" s="16">
        <v>399</v>
      </c>
      <c r="K186" s="16">
        <v>429</v>
      </c>
      <c r="L186" s="16">
        <v>14</v>
      </c>
      <c r="M186" s="16">
        <v>1.2727272727272727</v>
      </c>
      <c r="N186" s="13"/>
      <c r="O186" s="13"/>
      <c r="P186" s="13"/>
      <c r="Q186" s="13"/>
      <c r="R186" s="13" t="s">
        <v>774</v>
      </c>
      <c r="S186" s="18" t="s">
        <v>2117</v>
      </c>
    </row>
    <row r="187" spans="1:19" ht="52.05" customHeight="1">
      <c r="A187" s="14" t="s">
        <v>478</v>
      </c>
      <c r="B187" s="13">
        <v>2024</v>
      </c>
      <c r="C187" s="15">
        <v>338</v>
      </c>
      <c r="D187" s="13" t="s">
        <v>908</v>
      </c>
      <c r="E187" s="13" t="s">
        <v>763</v>
      </c>
      <c r="F187" s="13" t="s">
        <v>1090</v>
      </c>
      <c r="G187" s="13" t="s">
        <v>1091</v>
      </c>
      <c r="H187" s="13">
        <v>12</v>
      </c>
      <c r="I187" s="16">
        <v>370</v>
      </c>
      <c r="J187" s="16">
        <v>399</v>
      </c>
      <c r="K187" s="16">
        <v>425</v>
      </c>
      <c r="L187" s="16">
        <v>15</v>
      </c>
      <c r="M187" s="16">
        <v>1.25</v>
      </c>
      <c r="N187" s="13"/>
      <c r="O187" s="13"/>
      <c r="P187" s="13"/>
      <c r="Q187" s="13"/>
      <c r="R187" s="13" t="s">
        <v>774</v>
      </c>
      <c r="S187" s="18" t="s">
        <v>2118</v>
      </c>
    </row>
    <row r="188" spans="1:19" ht="52.05" customHeight="1">
      <c r="A188" s="14" t="s">
        <v>478</v>
      </c>
      <c r="B188" s="13">
        <v>2025</v>
      </c>
      <c r="C188" s="15">
        <v>323</v>
      </c>
      <c r="D188" s="13" t="s">
        <v>848</v>
      </c>
      <c r="E188" s="13" t="s">
        <v>763</v>
      </c>
      <c r="F188" s="13" t="s">
        <v>1092</v>
      </c>
      <c r="G188" s="13" t="s">
        <v>1093</v>
      </c>
      <c r="H188" s="13">
        <v>21</v>
      </c>
      <c r="I188" s="16">
        <v>363</v>
      </c>
      <c r="J188" s="16">
        <v>382</v>
      </c>
      <c r="K188" s="16">
        <v>401</v>
      </c>
      <c r="L188" s="16">
        <v>26</v>
      </c>
      <c r="M188" s="16">
        <v>1.2380952380952379</v>
      </c>
      <c r="N188" s="13"/>
      <c r="O188" s="13"/>
      <c r="P188" s="13"/>
      <c r="Q188" s="13"/>
      <c r="R188" s="13" t="s">
        <v>774</v>
      </c>
      <c r="S188" s="18" t="s">
        <v>2119</v>
      </c>
    </row>
    <row r="189" spans="1:19" ht="52.05" customHeight="1">
      <c r="A189" s="14" t="s">
        <v>478</v>
      </c>
      <c r="B189" s="13">
        <v>2026</v>
      </c>
      <c r="C189" s="15">
        <v>324</v>
      </c>
      <c r="D189" s="13" t="s">
        <v>1094</v>
      </c>
      <c r="E189" s="13" t="s">
        <v>770</v>
      </c>
      <c r="F189" s="13" t="s">
        <v>1095</v>
      </c>
      <c r="G189" s="13" t="s">
        <v>1096</v>
      </c>
      <c r="H189" s="13">
        <v>17</v>
      </c>
      <c r="I189" s="16">
        <v>341</v>
      </c>
      <c r="J189" s="16">
        <v>402</v>
      </c>
      <c r="K189" s="16">
        <v>428</v>
      </c>
      <c r="L189" s="16">
        <v>20</v>
      </c>
      <c r="M189" s="16">
        <v>1.1764705882352942</v>
      </c>
      <c r="N189" s="13"/>
      <c r="O189" s="13"/>
      <c r="P189" s="13"/>
      <c r="Q189" s="13"/>
      <c r="R189" s="13" t="s">
        <v>774</v>
      </c>
      <c r="S189" s="18" t="s">
        <v>2120</v>
      </c>
    </row>
    <row r="190" spans="1:19" ht="52.05" customHeight="1">
      <c r="A190" s="14" t="s">
        <v>484</v>
      </c>
      <c r="B190" s="13">
        <v>2022</v>
      </c>
      <c r="C190" s="15">
        <v>370</v>
      </c>
      <c r="D190" s="13" t="s">
        <v>884</v>
      </c>
      <c r="E190" s="13" t="s">
        <v>755</v>
      </c>
      <c r="F190" s="13" t="s">
        <v>756</v>
      </c>
      <c r="G190" s="13" t="s">
        <v>757</v>
      </c>
      <c r="H190" s="13">
        <v>30</v>
      </c>
      <c r="I190" s="16"/>
      <c r="J190" s="16"/>
      <c r="K190" s="16"/>
      <c r="L190" s="16">
        <v>59</v>
      </c>
      <c r="M190" s="16">
        <v>1.9666666666666663</v>
      </c>
      <c r="N190" s="13"/>
      <c r="O190" s="13"/>
      <c r="P190" s="13"/>
      <c r="Q190" s="13"/>
      <c r="R190" s="13" t="s">
        <v>774</v>
      </c>
      <c r="S190" s="18" t="s">
        <v>2047</v>
      </c>
    </row>
    <row r="191" spans="1:19" ht="52.05" customHeight="1">
      <c r="A191" s="14" t="s">
        <v>484</v>
      </c>
      <c r="B191" s="13">
        <v>2023</v>
      </c>
      <c r="C191" s="15">
        <v>355</v>
      </c>
      <c r="D191" s="13" t="s">
        <v>1097</v>
      </c>
      <c r="E191" s="13" t="s">
        <v>35</v>
      </c>
      <c r="F191" s="13" t="s">
        <v>1098</v>
      </c>
      <c r="G191" s="13" t="s">
        <v>761</v>
      </c>
      <c r="H191" s="13">
        <v>27</v>
      </c>
      <c r="I191" s="16">
        <v>377</v>
      </c>
      <c r="J191" s="16"/>
      <c r="K191" s="16"/>
      <c r="L191" s="16">
        <v>47</v>
      </c>
      <c r="M191" s="16">
        <v>1.7407407407407407</v>
      </c>
      <c r="N191" s="13"/>
      <c r="O191" s="13"/>
      <c r="P191" s="13"/>
      <c r="Q191" s="13"/>
      <c r="R191" s="13" t="s">
        <v>774</v>
      </c>
      <c r="S191" s="18" t="s">
        <v>2047</v>
      </c>
    </row>
    <row r="192" spans="1:19" ht="52.05" customHeight="1">
      <c r="A192" s="14" t="s">
        <v>484</v>
      </c>
      <c r="B192" s="13">
        <v>2024</v>
      </c>
      <c r="C192" s="15">
        <v>355</v>
      </c>
      <c r="D192" s="13" t="s">
        <v>806</v>
      </c>
      <c r="E192" s="13" t="s">
        <v>763</v>
      </c>
      <c r="F192" s="13" t="s">
        <v>1099</v>
      </c>
      <c r="G192" s="13" t="s">
        <v>1100</v>
      </c>
      <c r="H192" s="13">
        <v>23</v>
      </c>
      <c r="I192" s="16">
        <v>359</v>
      </c>
      <c r="J192" s="16">
        <v>399</v>
      </c>
      <c r="K192" s="16">
        <v>417</v>
      </c>
      <c r="L192" s="16">
        <v>30</v>
      </c>
      <c r="M192" s="16">
        <v>1.3043478260869563</v>
      </c>
      <c r="N192" s="13"/>
      <c r="O192" s="13"/>
      <c r="P192" s="13"/>
      <c r="Q192" s="13"/>
      <c r="R192" s="13" t="s">
        <v>774</v>
      </c>
      <c r="S192" s="18" t="s">
        <v>2048</v>
      </c>
    </row>
    <row r="193" spans="1:19" ht="52.05" customHeight="1">
      <c r="A193" s="14" t="s">
        <v>484</v>
      </c>
      <c r="B193" s="13">
        <v>2025</v>
      </c>
      <c r="C193" s="15">
        <v>345</v>
      </c>
      <c r="D193" s="13" t="s">
        <v>780</v>
      </c>
      <c r="E193" s="13" t="s">
        <v>763</v>
      </c>
      <c r="F193" s="13" t="s">
        <v>1101</v>
      </c>
      <c r="G193" s="13" t="s">
        <v>1102</v>
      </c>
      <c r="H193" s="13">
        <v>15</v>
      </c>
      <c r="I193" s="16">
        <v>377</v>
      </c>
      <c r="J193" s="16">
        <v>392</v>
      </c>
      <c r="K193" s="16">
        <v>431</v>
      </c>
      <c r="L193" s="16">
        <v>29</v>
      </c>
      <c r="M193" s="16">
        <v>1.9333333333333331</v>
      </c>
      <c r="N193" s="13"/>
      <c r="O193" s="13"/>
      <c r="P193" s="13"/>
      <c r="Q193" s="13"/>
      <c r="R193" s="13" t="s">
        <v>774</v>
      </c>
      <c r="S193" s="18" t="s">
        <v>2049</v>
      </c>
    </row>
    <row r="194" spans="1:19" ht="52.05" customHeight="1">
      <c r="A194" s="14" t="s">
        <v>484</v>
      </c>
      <c r="B194" s="13">
        <v>2026</v>
      </c>
      <c r="C194" s="15">
        <v>345</v>
      </c>
      <c r="D194" s="13" t="s">
        <v>780</v>
      </c>
      <c r="E194" s="13" t="s">
        <v>763</v>
      </c>
      <c r="F194" s="13" t="s">
        <v>1103</v>
      </c>
      <c r="G194" s="13" t="s">
        <v>1104</v>
      </c>
      <c r="H194" s="13">
        <v>20</v>
      </c>
      <c r="I194" s="16">
        <v>363</v>
      </c>
      <c r="J194" s="16"/>
      <c r="K194" s="16"/>
      <c r="L194" s="16">
        <v>26</v>
      </c>
      <c r="M194" s="16">
        <v>1.3</v>
      </c>
      <c r="N194" s="13"/>
      <c r="O194" s="13"/>
      <c r="P194" s="13"/>
      <c r="Q194" s="13"/>
      <c r="R194" s="13" t="s">
        <v>774</v>
      </c>
      <c r="S194" s="18" t="s">
        <v>2050</v>
      </c>
    </row>
    <row r="195" spans="1:19" ht="52.05" customHeight="1">
      <c r="A195" s="14" t="s">
        <v>491</v>
      </c>
      <c r="B195" s="13">
        <v>2022</v>
      </c>
      <c r="C195" s="15"/>
      <c r="D195" s="13" t="s">
        <v>981</v>
      </c>
      <c r="E195" s="13" t="s">
        <v>969</v>
      </c>
      <c r="F195" s="13"/>
      <c r="G195" s="13" t="s">
        <v>757</v>
      </c>
      <c r="H195" s="13"/>
      <c r="I195" s="16"/>
      <c r="J195" s="16"/>
      <c r="K195" s="16"/>
      <c r="L195" s="16"/>
      <c r="M195" s="16"/>
      <c r="N195" s="13"/>
      <c r="O195" s="13"/>
      <c r="P195" s="13"/>
      <c r="Q195" s="13"/>
      <c r="R195" s="13" t="s">
        <v>774</v>
      </c>
      <c r="S195" s="18" t="s">
        <v>2121</v>
      </c>
    </row>
    <row r="196" spans="1:19" ht="52.05" customHeight="1">
      <c r="A196" s="14" t="s">
        <v>491</v>
      </c>
      <c r="B196" s="13">
        <v>2023</v>
      </c>
      <c r="C196" s="15"/>
      <c r="D196" s="13" t="s">
        <v>841</v>
      </c>
      <c r="E196" s="13" t="s">
        <v>842</v>
      </c>
      <c r="F196" s="13" t="s">
        <v>843</v>
      </c>
      <c r="G196" s="13" t="s">
        <v>761</v>
      </c>
      <c r="H196" s="13"/>
      <c r="I196" s="16"/>
      <c r="J196" s="16"/>
      <c r="K196" s="16"/>
      <c r="L196" s="16"/>
      <c r="M196" s="16"/>
      <c r="N196" s="13"/>
      <c r="O196" s="13"/>
      <c r="P196" s="13"/>
      <c r="Q196" s="13"/>
      <c r="R196" s="13" t="s">
        <v>774</v>
      </c>
      <c r="S196" s="18" t="s">
        <v>2121</v>
      </c>
    </row>
    <row r="197" spans="1:19" ht="52.05" customHeight="1">
      <c r="A197" s="14" t="s">
        <v>491</v>
      </c>
      <c r="B197" s="13">
        <v>2024</v>
      </c>
      <c r="C197" s="15"/>
      <c r="D197" s="13" t="s">
        <v>968</v>
      </c>
      <c r="E197" s="13" t="s">
        <v>969</v>
      </c>
      <c r="F197" s="13"/>
      <c r="G197" s="13" t="s">
        <v>970</v>
      </c>
      <c r="H197" s="13"/>
      <c r="I197" s="16"/>
      <c r="J197" s="16"/>
      <c r="K197" s="16"/>
      <c r="L197" s="16"/>
      <c r="M197" s="16"/>
      <c r="N197" s="13"/>
      <c r="O197" s="13"/>
      <c r="P197" s="13"/>
      <c r="Q197" s="13"/>
      <c r="R197" s="13" t="s">
        <v>774</v>
      </c>
      <c r="S197" s="18" t="s">
        <v>2121</v>
      </c>
    </row>
    <row r="198" spans="1:19" ht="52.05" customHeight="1">
      <c r="A198" s="14" t="s">
        <v>491</v>
      </c>
      <c r="B198" s="13">
        <v>2025</v>
      </c>
      <c r="C198" s="15">
        <v>323</v>
      </c>
      <c r="D198" s="13" t="s">
        <v>848</v>
      </c>
      <c r="E198" s="13" t="s">
        <v>763</v>
      </c>
      <c r="F198" s="13" t="s">
        <v>1105</v>
      </c>
      <c r="G198" s="13" t="s">
        <v>1106</v>
      </c>
      <c r="H198" s="13">
        <v>21</v>
      </c>
      <c r="I198" s="16">
        <v>328</v>
      </c>
      <c r="J198" s="16">
        <v>366</v>
      </c>
      <c r="K198" s="16">
        <v>404</v>
      </c>
      <c r="L198" s="16">
        <v>21</v>
      </c>
      <c r="M198" s="16">
        <v>1</v>
      </c>
      <c r="N198" s="13"/>
      <c r="O198" s="13"/>
      <c r="P198" s="13"/>
      <c r="Q198" s="13"/>
      <c r="R198" s="13" t="s">
        <v>774</v>
      </c>
      <c r="S198" s="18" t="s">
        <v>2122</v>
      </c>
    </row>
    <row r="199" spans="1:19" ht="52.05" customHeight="1">
      <c r="A199" s="14" t="s">
        <v>491</v>
      </c>
      <c r="B199" s="13">
        <v>2026</v>
      </c>
      <c r="C199" s="15">
        <v>324</v>
      </c>
      <c r="D199" s="13" t="s">
        <v>851</v>
      </c>
      <c r="E199" s="13" t="s">
        <v>763</v>
      </c>
      <c r="F199" s="13" t="s">
        <v>1107</v>
      </c>
      <c r="G199" s="13" t="s">
        <v>1108</v>
      </c>
      <c r="H199" s="13">
        <v>28</v>
      </c>
      <c r="I199" s="16">
        <v>361</v>
      </c>
      <c r="J199" s="16">
        <v>386.5</v>
      </c>
      <c r="K199" s="16">
        <v>433</v>
      </c>
      <c r="L199" s="16">
        <v>35</v>
      </c>
      <c r="M199" s="16">
        <v>1.25</v>
      </c>
      <c r="N199" s="13"/>
      <c r="O199" s="13"/>
      <c r="P199" s="13"/>
      <c r="Q199" s="13"/>
      <c r="R199" s="13" t="s">
        <v>774</v>
      </c>
      <c r="S199" s="18" t="s">
        <v>2123</v>
      </c>
    </row>
    <row r="200" spans="1:19" ht="52.05" customHeight="1">
      <c r="A200" s="14" t="s">
        <v>494</v>
      </c>
      <c r="B200" s="13">
        <v>2022</v>
      </c>
      <c r="C200" s="15"/>
      <c r="D200" s="13" t="s">
        <v>952</v>
      </c>
      <c r="E200" s="13" t="s">
        <v>755</v>
      </c>
      <c r="F200" s="13" t="s">
        <v>952</v>
      </c>
      <c r="G200" s="13" t="s">
        <v>757</v>
      </c>
      <c r="H200" s="13"/>
      <c r="I200" s="16"/>
      <c r="J200" s="16"/>
      <c r="K200" s="16"/>
      <c r="L200" s="16"/>
      <c r="M200" s="16"/>
      <c r="N200" s="13"/>
      <c r="O200" s="13"/>
      <c r="P200" s="13"/>
      <c r="Q200" s="13"/>
      <c r="R200" s="13" t="s">
        <v>774</v>
      </c>
      <c r="S200" s="18" t="s">
        <v>2124</v>
      </c>
    </row>
    <row r="201" spans="1:19" ht="52.05" customHeight="1">
      <c r="A201" s="14" t="s">
        <v>494</v>
      </c>
      <c r="B201" s="13">
        <v>2023</v>
      </c>
      <c r="C201" s="15"/>
      <c r="D201" s="13" t="s">
        <v>841</v>
      </c>
      <c r="E201" s="13" t="s">
        <v>842</v>
      </c>
      <c r="F201" s="13" t="s">
        <v>843</v>
      </c>
      <c r="G201" s="13" t="s">
        <v>761</v>
      </c>
      <c r="H201" s="13">
        <v>10</v>
      </c>
      <c r="I201" s="16">
        <v>357</v>
      </c>
      <c r="J201" s="16"/>
      <c r="K201" s="16"/>
      <c r="L201" s="16">
        <v>11</v>
      </c>
      <c r="M201" s="16">
        <v>1.1000000000000001</v>
      </c>
      <c r="N201" s="13"/>
      <c r="O201" s="13"/>
      <c r="P201" s="13"/>
      <c r="Q201" s="13"/>
      <c r="R201" s="13" t="s">
        <v>774</v>
      </c>
      <c r="S201" s="18" t="s">
        <v>2124</v>
      </c>
    </row>
    <row r="202" spans="1:19" ht="52.05" customHeight="1">
      <c r="A202" s="14" t="s">
        <v>494</v>
      </c>
      <c r="B202" s="13">
        <v>2024</v>
      </c>
      <c r="C202" s="15">
        <v>338</v>
      </c>
      <c r="D202" s="13" t="s">
        <v>908</v>
      </c>
      <c r="E202" s="13" t="s">
        <v>763</v>
      </c>
      <c r="F202" s="13" t="s">
        <v>1109</v>
      </c>
      <c r="G202" s="13" t="s">
        <v>1110</v>
      </c>
      <c r="H202" s="13">
        <v>20</v>
      </c>
      <c r="I202" s="16">
        <v>359</v>
      </c>
      <c r="J202" s="16"/>
      <c r="K202" s="16"/>
      <c r="L202" s="16">
        <v>19</v>
      </c>
      <c r="M202" s="16">
        <v>0.95</v>
      </c>
      <c r="N202" s="13"/>
      <c r="O202" s="13"/>
      <c r="P202" s="13"/>
      <c r="Q202" s="13"/>
      <c r="R202" s="13" t="s">
        <v>774</v>
      </c>
      <c r="S202" s="18" t="s">
        <v>2124</v>
      </c>
    </row>
    <row r="203" spans="1:19" ht="52.05" customHeight="1">
      <c r="A203" s="14" t="s">
        <v>494</v>
      </c>
      <c r="B203" s="13">
        <v>2025</v>
      </c>
      <c r="C203" s="15">
        <v>323</v>
      </c>
      <c r="D203" s="13" t="s">
        <v>848</v>
      </c>
      <c r="E203" s="13" t="s">
        <v>763</v>
      </c>
      <c r="F203" s="13" t="s">
        <v>1111</v>
      </c>
      <c r="G203" s="13" t="s">
        <v>1112</v>
      </c>
      <c r="H203" s="13">
        <v>16</v>
      </c>
      <c r="I203" s="16">
        <v>331</v>
      </c>
      <c r="J203" s="16"/>
      <c r="K203" s="16"/>
      <c r="L203" s="16">
        <v>15</v>
      </c>
      <c r="M203" s="16">
        <v>0.9375</v>
      </c>
      <c r="N203" s="13"/>
      <c r="O203" s="13"/>
      <c r="P203" s="13"/>
      <c r="Q203" s="13"/>
      <c r="R203" s="13" t="s">
        <v>774</v>
      </c>
      <c r="S203" s="18" t="s">
        <v>2124</v>
      </c>
    </row>
    <row r="204" spans="1:19" ht="52.05" customHeight="1">
      <c r="A204" s="14" t="s">
        <v>494</v>
      </c>
      <c r="B204" s="13">
        <v>2026</v>
      </c>
      <c r="C204" s="15">
        <v>324</v>
      </c>
      <c r="D204" s="13" t="s">
        <v>851</v>
      </c>
      <c r="E204" s="13" t="s">
        <v>763</v>
      </c>
      <c r="F204" s="13" t="s">
        <v>1113</v>
      </c>
      <c r="G204" s="13" t="s">
        <v>1114</v>
      </c>
      <c r="H204" s="13">
        <v>13</v>
      </c>
      <c r="I204" s="16">
        <v>341</v>
      </c>
      <c r="J204" s="16">
        <v>359</v>
      </c>
      <c r="K204" s="16">
        <v>399</v>
      </c>
      <c r="L204" s="16"/>
      <c r="M204" s="16"/>
      <c r="N204" s="13"/>
      <c r="O204" s="13"/>
      <c r="P204" s="13"/>
      <c r="Q204" s="13"/>
      <c r="R204" s="13" t="s">
        <v>774</v>
      </c>
      <c r="S204" s="18" t="s">
        <v>2125</v>
      </c>
    </row>
    <row r="205" spans="1:19" ht="52.05" customHeight="1">
      <c r="A205" s="14" t="s">
        <v>501</v>
      </c>
      <c r="B205" s="13">
        <v>2022</v>
      </c>
      <c r="C205" s="15">
        <v>360</v>
      </c>
      <c r="D205" s="13" t="s">
        <v>865</v>
      </c>
      <c r="E205" s="13" t="s">
        <v>755</v>
      </c>
      <c r="F205" s="13" t="s">
        <v>756</v>
      </c>
      <c r="G205" s="13" t="s">
        <v>757</v>
      </c>
      <c r="H205" s="13">
        <v>11</v>
      </c>
      <c r="I205" s="16"/>
      <c r="J205" s="16">
        <v>399</v>
      </c>
      <c r="K205" s="16">
        <v>419</v>
      </c>
      <c r="L205" s="16">
        <v>14</v>
      </c>
      <c r="M205" s="16">
        <v>1.2727272727272727</v>
      </c>
      <c r="N205" s="13"/>
      <c r="O205" s="13"/>
      <c r="P205" s="13"/>
      <c r="Q205" s="13"/>
      <c r="R205" s="13" t="s">
        <v>774</v>
      </c>
      <c r="S205" s="18" t="s">
        <v>2126</v>
      </c>
    </row>
    <row r="206" spans="1:19" ht="52.05" customHeight="1">
      <c r="A206" s="14" t="s">
        <v>501</v>
      </c>
      <c r="B206" s="13">
        <v>2023</v>
      </c>
      <c r="C206" s="15">
        <v>364</v>
      </c>
      <c r="D206" s="18" t="s">
        <v>2127</v>
      </c>
      <c r="E206" s="18" t="s">
        <v>2078</v>
      </c>
      <c r="F206" s="13" t="s">
        <v>843</v>
      </c>
      <c r="G206" s="13" t="s">
        <v>761</v>
      </c>
      <c r="H206" s="13">
        <v>21</v>
      </c>
      <c r="I206" s="16"/>
      <c r="J206" s="16"/>
      <c r="K206" s="16"/>
      <c r="L206" s="16">
        <v>23</v>
      </c>
      <c r="M206" s="16">
        <v>1.0952380952380951</v>
      </c>
      <c r="N206" s="13"/>
      <c r="O206" s="13"/>
      <c r="P206" s="13"/>
      <c r="Q206" s="13"/>
      <c r="R206" s="13" t="s">
        <v>774</v>
      </c>
      <c r="S206" s="18" t="s">
        <v>2128</v>
      </c>
    </row>
    <row r="207" spans="1:19" ht="52.05" customHeight="1">
      <c r="A207" s="14" t="s">
        <v>501</v>
      </c>
      <c r="B207" s="13">
        <v>2024</v>
      </c>
      <c r="C207" s="15">
        <v>338</v>
      </c>
      <c r="D207" s="13" t="s">
        <v>908</v>
      </c>
      <c r="E207" s="13" t="s">
        <v>763</v>
      </c>
      <c r="F207" s="13" t="s">
        <v>1115</v>
      </c>
      <c r="G207" s="13" t="s">
        <v>1116</v>
      </c>
      <c r="H207" s="13">
        <v>27</v>
      </c>
      <c r="I207" s="16">
        <v>381</v>
      </c>
      <c r="J207" s="16">
        <v>403</v>
      </c>
      <c r="K207" s="16">
        <v>436</v>
      </c>
      <c r="L207" s="16">
        <v>35</v>
      </c>
      <c r="M207" s="16">
        <v>1.2962962962962965</v>
      </c>
      <c r="N207" s="13"/>
      <c r="O207" s="13"/>
      <c r="P207" s="13"/>
      <c r="Q207" s="13"/>
      <c r="R207" s="13" t="s">
        <v>774</v>
      </c>
      <c r="S207" s="18" t="s">
        <v>2129</v>
      </c>
    </row>
    <row r="208" spans="1:19" ht="52.05" customHeight="1">
      <c r="A208" s="14" t="s">
        <v>501</v>
      </c>
      <c r="B208" s="13">
        <v>2025</v>
      </c>
      <c r="C208" s="15">
        <v>323</v>
      </c>
      <c r="D208" s="13" t="s">
        <v>848</v>
      </c>
      <c r="E208" s="13" t="s">
        <v>763</v>
      </c>
      <c r="F208" s="13" t="s">
        <v>1117</v>
      </c>
      <c r="G208" s="13" t="s">
        <v>1118</v>
      </c>
      <c r="H208" s="13">
        <v>15</v>
      </c>
      <c r="I208" s="16">
        <v>380</v>
      </c>
      <c r="J208" s="16">
        <v>396</v>
      </c>
      <c r="K208" s="16">
        <v>433</v>
      </c>
      <c r="L208" s="16">
        <v>21</v>
      </c>
      <c r="M208" s="16">
        <v>1.4</v>
      </c>
      <c r="N208" s="13"/>
      <c r="O208" s="13"/>
      <c r="P208" s="13"/>
      <c r="Q208" s="13"/>
      <c r="R208" s="13" t="s">
        <v>774</v>
      </c>
      <c r="S208" s="18" t="s">
        <v>2130</v>
      </c>
    </row>
    <row r="209" spans="1:19" ht="52.05" customHeight="1">
      <c r="A209" s="14" t="s">
        <v>501</v>
      </c>
      <c r="B209" s="13">
        <v>2026</v>
      </c>
      <c r="C209" s="15">
        <v>324</v>
      </c>
      <c r="D209" s="13" t="s">
        <v>851</v>
      </c>
      <c r="E209" s="13" t="s">
        <v>763</v>
      </c>
      <c r="F209" s="13" t="s">
        <v>1119</v>
      </c>
      <c r="G209" s="13" t="s">
        <v>1120</v>
      </c>
      <c r="H209" s="13">
        <v>19</v>
      </c>
      <c r="I209" s="16">
        <v>381</v>
      </c>
      <c r="J209" s="16">
        <v>405</v>
      </c>
      <c r="K209" s="16">
        <v>424</v>
      </c>
      <c r="L209" s="16">
        <v>20</v>
      </c>
      <c r="M209" s="16">
        <v>1.0526315789473684</v>
      </c>
      <c r="N209" s="13"/>
      <c r="O209" s="13"/>
      <c r="P209" s="13"/>
      <c r="Q209" s="13"/>
      <c r="R209" s="13" t="s">
        <v>774</v>
      </c>
      <c r="S209" s="18" t="s">
        <v>2131</v>
      </c>
    </row>
    <row r="210" spans="1:19" ht="52.05" customHeight="1">
      <c r="A210" s="14" t="s">
        <v>511</v>
      </c>
      <c r="B210" s="13">
        <v>2022</v>
      </c>
      <c r="C210" s="15">
        <v>365</v>
      </c>
      <c r="D210" s="13" t="s">
        <v>1121</v>
      </c>
      <c r="E210" s="13" t="s">
        <v>755</v>
      </c>
      <c r="F210" s="13" t="s">
        <v>756</v>
      </c>
      <c r="G210" s="13" t="s">
        <v>757</v>
      </c>
      <c r="H210" s="13">
        <v>17</v>
      </c>
      <c r="I210" s="16"/>
      <c r="J210" s="16"/>
      <c r="K210" s="16"/>
      <c r="L210" s="16">
        <v>17</v>
      </c>
      <c r="M210" s="16">
        <v>1</v>
      </c>
      <c r="N210" s="13"/>
      <c r="O210" s="13"/>
      <c r="P210" s="13"/>
      <c r="Q210" s="13"/>
      <c r="R210" s="13" t="s">
        <v>774</v>
      </c>
      <c r="S210" s="18" t="s">
        <v>2132</v>
      </c>
    </row>
    <row r="211" spans="1:19" ht="52.05" customHeight="1">
      <c r="A211" s="14" t="s">
        <v>511</v>
      </c>
      <c r="B211" s="13">
        <v>2023</v>
      </c>
      <c r="C211" s="15">
        <v>346</v>
      </c>
      <c r="D211" s="18" t="s">
        <v>2133</v>
      </c>
      <c r="E211" s="18" t="s">
        <v>2078</v>
      </c>
      <c r="F211" s="13" t="s">
        <v>843</v>
      </c>
      <c r="G211" s="13" t="s">
        <v>761</v>
      </c>
      <c r="H211" s="13">
        <v>21</v>
      </c>
      <c r="I211" s="16">
        <v>352</v>
      </c>
      <c r="J211" s="16"/>
      <c r="K211" s="16"/>
      <c r="L211" s="16">
        <v>26</v>
      </c>
      <c r="M211" s="16">
        <v>1.2380952380952379</v>
      </c>
      <c r="N211" s="13"/>
      <c r="O211" s="13"/>
      <c r="P211" s="13"/>
      <c r="Q211" s="13"/>
      <c r="R211" s="13" t="s">
        <v>774</v>
      </c>
      <c r="S211" s="18" t="s">
        <v>2132</v>
      </c>
    </row>
    <row r="212" spans="1:19" ht="52.05" customHeight="1">
      <c r="A212" s="14" t="s">
        <v>511</v>
      </c>
      <c r="B212" s="13">
        <v>2024</v>
      </c>
      <c r="C212" s="15">
        <v>338</v>
      </c>
      <c r="D212" s="13" t="s">
        <v>908</v>
      </c>
      <c r="E212" s="13" t="s">
        <v>763</v>
      </c>
      <c r="F212" s="13" t="s">
        <v>1122</v>
      </c>
      <c r="G212" s="13" t="s">
        <v>1123</v>
      </c>
      <c r="H212" s="13">
        <v>21</v>
      </c>
      <c r="I212" s="16">
        <v>369</v>
      </c>
      <c r="J212" s="16"/>
      <c r="K212" s="16"/>
      <c r="L212" s="16">
        <v>27</v>
      </c>
      <c r="M212" s="16">
        <v>1.2857142857142858</v>
      </c>
      <c r="N212" s="13"/>
      <c r="O212" s="13"/>
      <c r="P212" s="13"/>
      <c r="Q212" s="13"/>
      <c r="R212" s="13" t="s">
        <v>774</v>
      </c>
      <c r="S212" s="18" t="s">
        <v>2132</v>
      </c>
    </row>
    <row r="213" spans="1:19" ht="52.05" customHeight="1">
      <c r="A213" s="14" t="s">
        <v>511</v>
      </c>
      <c r="B213" s="13">
        <v>2025</v>
      </c>
      <c r="C213" s="15">
        <v>323</v>
      </c>
      <c r="D213" s="13" t="s">
        <v>848</v>
      </c>
      <c r="E213" s="13" t="s">
        <v>763</v>
      </c>
      <c r="F213" s="13" t="s">
        <v>1124</v>
      </c>
      <c r="G213" s="13" t="s">
        <v>1125</v>
      </c>
      <c r="H213" s="13">
        <v>31</v>
      </c>
      <c r="I213" s="16">
        <v>337</v>
      </c>
      <c r="J213" s="16">
        <v>357</v>
      </c>
      <c r="K213" s="16">
        <v>395</v>
      </c>
      <c r="L213" s="16">
        <v>38</v>
      </c>
      <c r="M213" s="16">
        <v>1.2258064516129032</v>
      </c>
      <c r="N213" s="13"/>
      <c r="O213" s="13"/>
      <c r="P213" s="13"/>
      <c r="Q213" s="13"/>
      <c r="R213" s="13" t="s">
        <v>774</v>
      </c>
      <c r="S213" s="18" t="s">
        <v>2134</v>
      </c>
    </row>
    <row r="214" spans="1:19" ht="52.05" customHeight="1">
      <c r="A214" s="14" t="s">
        <v>511</v>
      </c>
      <c r="B214" s="13">
        <v>2026</v>
      </c>
      <c r="C214" s="15">
        <v>324</v>
      </c>
      <c r="D214" s="13" t="s">
        <v>851</v>
      </c>
      <c r="E214" s="13" t="s">
        <v>763</v>
      </c>
      <c r="F214" s="13" t="s">
        <v>1126</v>
      </c>
      <c r="G214" s="13" t="s">
        <v>1127</v>
      </c>
      <c r="H214" s="13">
        <v>23</v>
      </c>
      <c r="I214" s="16">
        <v>357</v>
      </c>
      <c r="J214" s="16">
        <v>386</v>
      </c>
      <c r="K214" s="16">
        <v>414</v>
      </c>
      <c r="L214" s="16">
        <v>31</v>
      </c>
      <c r="M214" s="16">
        <v>1.3478260869565215</v>
      </c>
      <c r="N214" s="13"/>
      <c r="O214" s="13"/>
      <c r="P214" s="13"/>
      <c r="Q214" s="13"/>
      <c r="R214" s="13" t="s">
        <v>774</v>
      </c>
      <c r="S214" s="18" t="s">
        <v>2135</v>
      </c>
    </row>
    <row r="215" spans="1:19" ht="52.05" customHeight="1">
      <c r="A215" s="14" t="s">
        <v>516</v>
      </c>
      <c r="B215" s="13">
        <v>2022</v>
      </c>
      <c r="C215" s="15">
        <v>369</v>
      </c>
      <c r="D215" s="13" t="s">
        <v>1072</v>
      </c>
      <c r="E215" s="13" t="s">
        <v>755</v>
      </c>
      <c r="F215" s="13" t="s">
        <v>756</v>
      </c>
      <c r="G215" s="13" t="s">
        <v>757</v>
      </c>
      <c r="H215" s="13">
        <v>43</v>
      </c>
      <c r="I215" s="16"/>
      <c r="J215" s="16"/>
      <c r="K215" s="16"/>
      <c r="L215" s="16">
        <v>54</v>
      </c>
      <c r="M215" s="16">
        <v>1.2558139534883721</v>
      </c>
      <c r="N215" s="13"/>
      <c r="O215" s="13"/>
      <c r="P215" s="13"/>
      <c r="Q215" s="13"/>
      <c r="R215" s="13" t="s">
        <v>774</v>
      </c>
      <c r="S215" s="18" t="s">
        <v>2136</v>
      </c>
    </row>
    <row r="216" spans="1:19" ht="52.05" customHeight="1">
      <c r="A216" s="14" t="s">
        <v>516</v>
      </c>
      <c r="B216" s="13">
        <v>2023</v>
      </c>
      <c r="C216" s="15">
        <v>379</v>
      </c>
      <c r="D216" s="18" t="s">
        <v>2137</v>
      </c>
      <c r="E216" s="18" t="s">
        <v>2078</v>
      </c>
      <c r="F216" s="13" t="s">
        <v>843</v>
      </c>
      <c r="G216" s="13" t="s">
        <v>761</v>
      </c>
      <c r="H216" s="13">
        <v>42</v>
      </c>
      <c r="I216" s="16">
        <v>379</v>
      </c>
      <c r="J216" s="16"/>
      <c r="K216" s="16"/>
      <c r="L216" s="16">
        <v>56</v>
      </c>
      <c r="M216" s="16">
        <v>1.3333333333333333</v>
      </c>
      <c r="N216" s="13"/>
      <c r="O216" s="13"/>
      <c r="P216" s="13"/>
      <c r="Q216" s="13"/>
      <c r="R216" s="13" t="s">
        <v>774</v>
      </c>
      <c r="S216" s="18" t="s">
        <v>2136</v>
      </c>
    </row>
    <row r="217" spans="1:19" ht="52.05" customHeight="1">
      <c r="A217" s="14" t="s">
        <v>516</v>
      </c>
      <c r="B217" s="13">
        <v>2024</v>
      </c>
      <c r="C217" s="15">
        <v>338</v>
      </c>
      <c r="D217" s="13" t="s">
        <v>908</v>
      </c>
      <c r="E217" s="13" t="s">
        <v>763</v>
      </c>
      <c r="F217" s="13" t="s">
        <v>1128</v>
      </c>
      <c r="G217" s="13" t="s">
        <v>1129</v>
      </c>
      <c r="H217" s="13">
        <v>44</v>
      </c>
      <c r="I217" s="16">
        <v>346</v>
      </c>
      <c r="J217" s="16">
        <v>384.5</v>
      </c>
      <c r="K217" s="16">
        <v>420</v>
      </c>
      <c r="L217" s="16">
        <v>53</v>
      </c>
      <c r="M217" s="16">
        <v>1.2045454545454546</v>
      </c>
      <c r="N217" s="13"/>
      <c r="O217" s="13"/>
      <c r="P217" s="13"/>
      <c r="Q217" s="13"/>
      <c r="R217" s="13" t="s">
        <v>774</v>
      </c>
      <c r="S217" s="18" t="s">
        <v>2138</v>
      </c>
    </row>
    <row r="218" spans="1:19" ht="52.05" customHeight="1">
      <c r="A218" s="14" t="s">
        <v>516</v>
      </c>
      <c r="B218" s="13">
        <v>2025</v>
      </c>
      <c r="C218" s="15">
        <v>323</v>
      </c>
      <c r="D218" s="13" t="s">
        <v>848</v>
      </c>
      <c r="E218" s="13" t="s">
        <v>763</v>
      </c>
      <c r="F218" s="13" t="s">
        <v>1130</v>
      </c>
      <c r="G218" s="13" t="s">
        <v>1131</v>
      </c>
      <c r="H218" s="13">
        <v>58</v>
      </c>
      <c r="I218" s="16">
        <v>347</v>
      </c>
      <c r="J218" s="16"/>
      <c r="K218" s="16"/>
      <c r="L218" s="16">
        <v>71</v>
      </c>
      <c r="M218" s="16">
        <v>1.2241379310344829</v>
      </c>
      <c r="N218" s="13"/>
      <c r="O218" s="13"/>
      <c r="P218" s="13"/>
      <c r="Q218" s="13"/>
      <c r="R218" s="13" t="s">
        <v>774</v>
      </c>
      <c r="S218" s="18" t="s">
        <v>2136</v>
      </c>
    </row>
    <row r="219" spans="1:19" ht="52.05" customHeight="1">
      <c r="A219" s="14" t="s">
        <v>516</v>
      </c>
      <c r="B219" s="13">
        <v>2026</v>
      </c>
      <c r="C219" s="15">
        <v>324</v>
      </c>
      <c r="D219" s="13" t="s">
        <v>851</v>
      </c>
      <c r="E219" s="13" t="s">
        <v>763</v>
      </c>
      <c r="F219" s="13" t="s">
        <v>1132</v>
      </c>
      <c r="G219" s="13" t="s">
        <v>1133</v>
      </c>
      <c r="H219" s="13">
        <v>54</v>
      </c>
      <c r="I219" s="16">
        <v>359</v>
      </c>
      <c r="J219" s="16">
        <v>380</v>
      </c>
      <c r="K219" s="16">
        <v>416</v>
      </c>
      <c r="L219" s="16">
        <v>72</v>
      </c>
      <c r="M219" s="16">
        <v>1.3333333333333333</v>
      </c>
      <c r="N219" s="13"/>
      <c r="O219" s="13"/>
      <c r="P219" s="13"/>
      <c r="Q219" s="13"/>
      <c r="R219" s="13" t="s">
        <v>774</v>
      </c>
      <c r="S219" s="18" t="s">
        <v>2139</v>
      </c>
    </row>
    <row r="220" spans="1:19" ht="52.05" customHeight="1">
      <c r="A220" s="14" t="s">
        <v>519</v>
      </c>
      <c r="B220" s="13">
        <v>2022</v>
      </c>
      <c r="C220" s="15">
        <v>360</v>
      </c>
      <c r="D220" s="13" t="s">
        <v>865</v>
      </c>
      <c r="E220" s="13" t="s">
        <v>755</v>
      </c>
      <c r="F220" s="13" t="s">
        <v>756</v>
      </c>
      <c r="G220" s="13" t="s">
        <v>757</v>
      </c>
      <c r="H220" s="13">
        <v>51</v>
      </c>
      <c r="I220" s="16"/>
      <c r="J220" s="16"/>
      <c r="K220" s="16"/>
      <c r="L220" s="16">
        <v>61</v>
      </c>
      <c r="M220" s="16">
        <v>1.196078431372549</v>
      </c>
      <c r="N220" s="13"/>
      <c r="O220" s="13"/>
      <c r="P220" s="13"/>
      <c r="Q220" s="13"/>
      <c r="R220" s="13" t="s">
        <v>774</v>
      </c>
      <c r="S220" s="18" t="s">
        <v>2140</v>
      </c>
    </row>
    <row r="221" spans="1:19" ht="52.05" customHeight="1">
      <c r="A221" s="14" t="s">
        <v>519</v>
      </c>
      <c r="B221" s="13">
        <v>2023</v>
      </c>
      <c r="C221" s="15">
        <v>360</v>
      </c>
      <c r="D221" s="18" t="s">
        <v>2141</v>
      </c>
      <c r="E221" s="18" t="s">
        <v>2078</v>
      </c>
      <c r="F221" s="13" t="s">
        <v>843</v>
      </c>
      <c r="G221" s="13" t="s">
        <v>761</v>
      </c>
      <c r="H221" s="13">
        <v>44</v>
      </c>
      <c r="I221" s="16">
        <v>363</v>
      </c>
      <c r="J221" s="16"/>
      <c r="K221" s="16"/>
      <c r="L221" s="16">
        <v>53</v>
      </c>
      <c r="M221" s="16">
        <v>1.2045454545454546</v>
      </c>
      <c r="N221" s="13"/>
      <c r="O221" s="13"/>
      <c r="P221" s="13"/>
      <c r="Q221" s="13"/>
      <c r="R221" s="13" t="s">
        <v>774</v>
      </c>
      <c r="S221" s="18" t="s">
        <v>2140</v>
      </c>
    </row>
    <row r="222" spans="1:19" ht="52.05" customHeight="1">
      <c r="A222" s="14" t="s">
        <v>519</v>
      </c>
      <c r="B222" s="13">
        <v>2024</v>
      </c>
      <c r="C222" s="15">
        <v>338</v>
      </c>
      <c r="D222" s="13" t="s">
        <v>908</v>
      </c>
      <c r="E222" s="13" t="s">
        <v>763</v>
      </c>
      <c r="F222" s="13" t="s">
        <v>1134</v>
      </c>
      <c r="G222" s="13" t="s">
        <v>1135</v>
      </c>
      <c r="H222" s="13">
        <v>36</v>
      </c>
      <c r="I222" s="16">
        <v>381</v>
      </c>
      <c r="J222" s="16"/>
      <c r="K222" s="16"/>
      <c r="L222" s="16">
        <v>43</v>
      </c>
      <c r="M222" s="16">
        <v>1.1944444444444444</v>
      </c>
      <c r="N222" s="13"/>
      <c r="O222" s="13"/>
      <c r="P222" s="13"/>
      <c r="Q222" s="13"/>
      <c r="R222" s="13" t="s">
        <v>774</v>
      </c>
      <c r="S222" s="18" t="s">
        <v>2140</v>
      </c>
    </row>
    <row r="223" spans="1:19" ht="52.05" customHeight="1">
      <c r="A223" s="14" t="s">
        <v>519</v>
      </c>
      <c r="B223" s="13">
        <v>2025</v>
      </c>
      <c r="C223" s="15">
        <v>323</v>
      </c>
      <c r="D223" s="13" t="s">
        <v>848</v>
      </c>
      <c r="E223" s="13" t="s">
        <v>763</v>
      </c>
      <c r="F223" s="13" t="s">
        <v>1136</v>
      </c>
      <c r="G223" s="13" t="s">
        <v>1137</v>
      </c>
      <c r="H223" s="13">
        <v>24</v>
      </c>
      <c r="I223" s="16">
        <v>373</v>
      </c>
      <c r="J223" s="16">
        <v>390</v>
      </c>
      <c r="K223" s="16">
        <v>427</v>
      </c>
      <c r="L223" s="16">
        <v>30</v>
      </c>
      <c r="M223" s="16">
        <v>1.25</v>
      </c>
      <c r="N223" s="13"/>
      <c r="O223" s="13"/>
      <c r="P223" s="13"/>
      <c r="Q223" s="13"/>
      <c r="R223" s="13" t="s">
        <v>774</v>
      </c>
      <c r="S223" s="18" t="s">
        <v>2142</v>
      </c>
    </row>
    <row r="224" spans="1:19" ht="52.05" customHeight="1">
      <c r="A224" s="14" t="s">
        <v>519</v>
      </c>
      <c r="B224" s="13">
        <v>2026</v>
      </c>
      <c r="C224" s="15">
        <v>324</v>
      </c>
      <c r="D224" s="13" t="s">
        <v>851</v>
      </c>
      <c r="E224" s="13" t="s">
        <v>763</v>
      </c>
      <c r="F224" s="13" t="s">
        <v>1138</v>
      </c>
      <c r="G224" s="13" t="s">
        <v>1139</v>
      </c>
      <c r="H224" s="13">
        <v>10</v>
      </c>
      <c r="I224" s="16">
        <v>364</v>
      </c>
      <c r="J224" s="16">
        <v>386</v>
      </c>
      <c r="K224" s="16">
        <v>428</v>
      </c>
      <c r="L224" s="16">
        <v>12</v>
      </c>
      <c r="M224" s="16">
        <v>1.2</v>
      </c>
      <c r="N224" s="13"/>
      <c r="O224" s="13"/>
      <c r="P224" s="13"/>
      <c r="Q224" s="13"/>
      <c r="R224" s="13" t="s">
        <v>774</v>
      </c>
      <c r="S224" s="18" t="s">
        <v>2143</v>
      </c>
    </row>
    <row r="225" spans="1:19" ht="52.05" customHeight="1">
      <c r="A225" s="14" t="s">
        <v>528</v>
      </c>
      <c r="B225" s="13">
        <v>2022</v>
      </c>
      <c r="C225" s="15">
        <v>374</v>
      </c>
      <c r="D225" s="13" t="s">
        <v>1140</v>
      </c>
      <c r="E225" s="13" t="s">
        <v>755</v>
      </c>
      <c r="F225" s="13" t="s">
        <v>756</v>
      </c>
      <c r="G225" s="13" t="s">
        <v>757</v>
      </c>
      <c r="H225" s="13">
        <v>35</v>
      </c>
      <c r="I225" s="16"/>
      <c r="J225" s="16"/>
      <c r="K225" s="16"/>
      <c r="L225" s="16"/>
      <c r="M225" s="16"/>
      <c r="N225" s="13"/>
      <c r="O225" s="13"/>
      <c r="P225" s="13"/>
      <c r="Q225" s="13"/>
      <c r="R225" s="13" t="s">
        <v>774</v>
      </c>
      <c r="S225" s="18" t="s">
        <v>2144</v>
      </c>
    </row>
    <row r="226" spans="1:19" ht="52.05" customHeight="1">
      <c r="A226" s="14" t="s">
        <v>528</v>
      </c>
      <c r="B226" s="13">
        <v>2023</v>
      </c>
      <c r="C226" s="15">
        <v>351</v>
      </c>
      <c r="D226" s="18" t="s">
        <v>2145</v>
      </c>
      <c r="E226" s="18" t="s">
        <v>2078</v>
      </c>
      <c r="F226" s="13" t="s">
        <v>843</v>
      </c>
      <c r="G226" s="13" t="s">
        <v>761</v>
      </c>
      <c r="H226" s="13">
        <v>40</v>
      </c>
      <c r="I226" s="16">
        <v>354</v>
      </c>
      <c r="J226" s="16"/>
      <c r="K226" s="16"/>
      <c r="L226" s="16"/>
      <c r="M226" s="16"/>
      <c r="N226" s="13"/>
      <c r="O226" s="13"/>
      <c r="P226" s="13"/>
      <c r="Q226" s="13"/>
      <c r="R226" s="13" t="s">
        <v>774</v>
      </c>
      <c r="S226" s="18" t="s">
        <v>2144</v>
      </c>
    </row>
    <row r="227" spans="1:19" ht="52.05" customHeight="1">
      <c r="A227" s="14" t="s">
        <v>528</v>
      </c>
      <c r="B227" s="13">
        <v>2024</v>
      </c>
      <c r="C227" s="15">
        <v>338</v>
      </c>
      <c r="D227" s="13" t="s">
        <v>908</v>
      </c>
      <c r="E227" s="13" t="s">
        <v>763</v>
      </c>
      <c r="F227" s="13" t="s">
        <v>1141</v>
      </c>
      <c r="G227" s="13" t="s">
        <v>1142</v>
      </c>
      <c r="H227" s="13">
        <v>39</v>
      </c>
      <c r="I227" s="16">
        <v>371</v>
      </c>
      <c r="J227" s="16"/>
      <c r="K227" s="16"/>
      <c r="L227" s="16"/>
      <c r="M227" s="16"/>
      <c r="N227" s="13"/>
      <c r="O227" s="13"/>
      <c r="P227" s="13"/>
      <c r="Q227" s="13"/>
      <c r="R227" s="13" t="s">
        <v>774</v>
      </c>
      <c r="S227" s="18" t="s">
        <v>2144</v>
      </c>
    </row>
    <row r="228" spans="1:19" ht="52.05" customHeight="1">
      <c r="A228" s="14" t="s">
        <v>528</v>
      </c>
      <c r="B228" s="13">
        <v>2025</v>
      </c>
      <c r="C228" s="15">
        <v>323</v>
      </c>
      <c r="D228" s="13" t="s">
        <v>848</v>
      </c>
      <c r="E228" s="13" t="s">
        <v>763</v>
      </c>
      <c r="F228" s="13" t="s">
        <v>1143</v>
      </c>
      <c r="G228" s="13" t="s">
        <v>1144</v>
      </c>
      <c r="H228" s="13">
        <v>42</v>
      </c>
      <c r="I228" s="16">
        <v>338</v>
      </c>
      <c r="J228" s="16"/>
      <c r="K228" s="16"/>
      <c r="L228" s="16"/>
      <c r="M228" s="16"/>
      <c r="N228" s="13"/>
      <c r="O228" s="13"/>
      <c r="P228" s="13"/>
      <c r="Q228" s="13"/>
      <c r="R228" s="13" t="s">
        <v>774</v>
      </c>
      <c r="S228" s="18" t="s">
        <v>2144</v>
      </c>
    </row>
    <row r="229" spans="1:19" ht="52.05" customHeight="1">
      <c r="A229" s="14" t="s">
        <v>528</v>
      </c>
      <c r="B229" s="13">
        <v>2026</v>
      </c>
      <c r="C229" s="15">
        <v>324</v>
      </c>
      <c r="D229" s="13" t="s">
        <v>851</v>
      </c>
      <c r="E229" s="13" t="s">
        <v>763</v>
      </c>
      <c r="F229" s="13" t="s">
        <v>1145</v>
      </c>
      <c r="G229" s="13" t="s">
        <v>1146</v>
      </c>
      <c r="H229" s="13">
        <v>25</v>
      </c>
      <c r="I229" s="16">
        <v>389</v>
      </c>
      <c r="J229" s="16">
        <v>407</v>
      </c>
      <c r="K229" s="16">
        <v>442</v>
      </c>
      <c r="L229" s="16"/>
      <c r="M229" s="16"/>
      <c r="N229" s="13"/>
      <c r="O229" s="13"/>
      <c r="P229" s="13"/>
      <c r="Q229" s="13"/>
      <c r="R229" s="13" t="s">
        <v>774</v>
      </c>
      <c r="S229" s="18" t="s">
        <v>2146</v>
      </c>
    </row>
    <row r="230" spans="1:19" ht="52.05" customHeight="1">
      <c r="A230" s="14" t="s">
        <v>536</v>
      </c>
      <c r="B230" s="13">
        <v>2022</v>
      </c>
      <c r="C230" s="15">
        <v>400</v>
      </c>
      <c r="D230" s="13" t="s">
        <v>788</v>
      </c>
      <c r="E230" s="13" t="s">
        <v>755</v>
      </c>
      <c r="F230" s="13" t="s">
        <v>756</v>
      </c>
      <c r="G230" s="13" t="s">
        <v>757</v>
      </c>
      <c r="H230" s="13">
        <v>16</v>
      </c>
      <c r="I230" s="16"/>
      <c r="J230" s="16"/>
      <c r="K230" s="16"/>
      <c r="L230" s="16">
        <v>24</v>
      </c>
      <c r="M230" s="16">
        <v>1.5</v>
      </c>
      <c r="N230" s="13"/>
      <c r="O230" s="13"/>
      <c r="P230" s="13"/>
      <c r="Q230" s="13"/>
      <c r="R230" s="13" t="s">
        <v>774</v>
      </c>
      <c r="S230" s="18" t="s">
        <v>2147</v>
      </c>
    </row>
    <row r="231" spans="1:19" ht="52.05" customHeight="1">
      <c r="A231" s="14" t="s">
        <v>536</v>
      </c>
      <c r="B231" s="13">
        <v>2023</v>
      </c>
      <c r="C231" s="15">
        <v>352</v>
      </c>
      <c r="D231" s="18" t="s">
        <v>2148</v>
      </c>
      <c r="E231" s="18" t="s">
        <v>2078</v>
      </c>
      <c r="F231" s="13" t="s">
        <v>843</v>
      </c>
      <c r="G231" s="13" t="s">
        <v>761</v>
      </c>
      <c r="H231" s="13">
        <v>23</v>
      </c>
      <c r="I231" s="16">
        <v>352</v>
      </c>
      <c r="J231" s="16"/>
      <c r="K231" s="16"/>
      <c r="L231" s="16">
        <v>27</v>
      </c>
      <c r="M231" s="16">
        <v>1.173913043478261</v>
      </c>
      <c r="N231" s="13"/>
      <c r="O231" s="13"/>
      <c r="P231" s="13"/>
      <c r="Q231" s="13"/>
      <c r="R231" s="13" t="s">
        <v>774</v>
      </c>
      <c r="S231" s="18" t="s">
        <v>2147</v>
      </c>
    </row>
    <row r="232" spans="1:19" ht="52.05" customHeight="1">
      <c r="A232" s="14" t="s">
        <v>536</v>
      </c>
      <c r="B232" s="13">
        <v>2024</v>
      </c>
      <c r="C232" s="15">
        <v>338</v>
      </c>
      <c r="D232" s="13" t="s">
        <v>908</v>
      </c>
      <c r="E232" s="13" t="s">
        <v>763</v>
      </c>
      <c r="F232" s="13" t="s">
        <v>1147</v>
      </c>
      <c r="G232" s="13" t="s">
        <v>1148</v>
      </c>
      <c r="H232" s="13">
        <v>21</v>
      </c>
      <c r="I232" s="16">
        <v>353</v>
      </c>
      <c r="J232" s="16">
        <v>379</v>
      </c>
      <c r="K232" s="16">
        <v>404</v>
      </c>
      <c r="L232" s="16">
        <v>27</v>
      </c>
      <c r="M232" s="16">
        <v>1.2857142857142858</v>
      </c>
      <c r="N232" s="13"/>
      <c r="O232" s="13"/>
      <c r="P232" s="13"/>
      <c r="Q232" s="13"/>
      <c r="R232" s="13" t="s">
        <v>774</v>
      </c>
      <c r="S232" s="18" t="s">
        <v>2149</v>
      </c>
    </row>
    <row r="233" spans="1:19" ht="52.05" customHeight="1">
      <c r="A233" s="14" t="s">
        <v>536</v>
      </c>
      <c r="B233" s="13">
        <v>2025</v>
      </c>
      <c r="C233" s="15">
        <v>375</v>
      </c>
      <c r="D233" s="13" t="s">
        <v>1149</v>
      </c>
      <c r="E233" s="13" t="s">
        <v>35</v>
      </c>
      <c r="F233" s="13" t="s">
        <v>1150</v>
      </c>
      <c r="G233" s="13" t="s">
        <v>1151</v>
      </c>
      <c r="H233" s="13">
        <v>19</v>
      </c>
      <c r="I233" s="16">
        <v>376</v>
      </c>
      <c r="J233" s="16">
        <v>390</v>
      </c>
      <c r="K233" s="16">
        <v>410</v>
      </c>
      <c r="L233" s="16">
        <v>23</v>
      </c>
      <c r="M233" s="16">
        <v>1.2105263157894737</v>
      </c>
      <c r="N233" s="13"/>
      <c r="O233" s="13"/>
      <c r="P233" s="13"/>
      <c r="Q233" s="13"/>
      <c r="R233" s="13" t="s">
        <v>774</v>
      </c>
      <c r="S233" s="18" t="s">
        <v>2150</v>
      </c>
    </row>
    <row r="234" spans="1:19" ht="52.05" customHeight="1">
      <c r="A234" s="14" t="s">
        <v>536</v>
      </c>
      <c r="B234" s="13">
        <v>2026</v>
      </c>
      <c r="C234" s="15">
        <v>324</v>
      </c>
      <c r="D234" s="13" t="s">
        <v>851</v>
      </c>
      <c r="E234" s="13" t="s">
        <v>763</v>
      </c>
      <c r="F234" s="13" t="s">
        <v>1152</v>
      </c>
      <c r="G234" s="13" t="s">
        <v>1153</v>
      </c>
      <c r="H234" s="13">
        <v>13</v>
      </c>
      <c r="I234" s="16">
        <v>398</v>
      </c>
      <c r="J234" s="16">
        <v>401</v>
      </c>
      <c r="K234" s="16">
        <v>417</v>
      </c>
      <c r="L234" s="16">
        <v>16</v>
      </c>
      <c r="M234" s="16">
        <v>1.2307692307692308</v>
      </c>
      <c r="N234" s="13"/>
      <c r="O234" s="13"/>
      <c r="P234" s="13"/>
      <c r="Q234" s="13"/>
      <c r="R234" s="13" t="s">
        <v>774</v>
      </c>
      <c r="S234" s="18" t="s">
        <v>2151</v>
      </c>
    </row>
    <row r="235" spans="1:19" ht="52.05" customHeight="1">
      <c r="A235" s="14" t="s">
        <v>542</v>
      </c>
      <c r="B235" s="13">
        <v>2022</v>
      </c>
      <c r="C235" s="15"/>
      <c r="D235" s="13" t="s">
        <v>1154</v>
      </c>
      <c r="E235" s="13" t="s">
        <v>1155</v>
      </c>
      <c r="F235" s="13"/>
      <c r="G235" s="13" t="s">
        <v>1156</v>
      </c>
      <c r="H235" s="13"/>
      <c r="I235" s="16"/>
      <c r="J235" s="16"/>
      <c r="K235" s="16"/>
      <c r="L235" s="16"/>
      <c r="M235" s="16"/>
      <c r="N235" s="13"/>
      <c r="O235" s="13"/>
      <c r="P235" s="13"/>
      <c r="Q235" s="13"/>
      <c r="R235" s="13" t="s">
        <v>774</v>
      </c>
      <c r="S235" s="13"/>
    </row>
    <row r="236" spans="1:19" ht="52.05" customHeight="1">
      <c r="A236" s="14" t="s">
        <v>542</v>
      </c>
      <c r="B236" s="13">
        <v>2023</v>
      </c>
      <c r="C236" s="15">
        <v>346</v>
      </c>
      <c r="D236" s="13" t="s">
        <v>1157</v>
      </c>
      <c r="E236" s="13" t="s">
        <v>1158</v>
      </c>
      <c r="F236" s="13"/>
      <c r="G236" s="13" t="s">
        <v>1159</v>
      </c>
      <c r="H236" s="13"/>
      <c r="I236" s="16"/>
      <c r="J236" s="16"/>
      <c r="K236" s="16"/>
      <c r="L236" s="16"/>
      <c r="M236" s="16"/>
      <c r="N236" s="13"/>
      <c r="O236" s="13"/>
      <c r="P236" s="13"/>
      <c r="Q236" s="13"/>
      <c r="R236" s="13" t="s">
        <v>774</v>
      </c>
      <c r="S236" s="13"/>
    </row>
    <row r="237" spans="1:19" ht="52.05" customHeight="1">
      <c r="A237" s="14" t="s">
        <v>542</v>
      </c>
      <c r="B237" s="13">
        <v>2024</v>
      </c>
      <c r="C237" s="15">
        <v>338</v>
      </c>
      <c r="D237" s="13" t="s">
        <v>1160</v>
      </c>
      <c r="E237" s="13" t="s">
        <v>1161</v>
      </c>
      <c r="F237" s="13"/>
      <c r="G237" s="13" t="s">
        <v>1162</v>
      </c>
      <c r="H237" s="13"/>
      <c r="I237" s="16"/>
      <c r="J237" s="16"/>
      <c r="K237" s="16"/>
      <c r="L237" s="16"/>
      <c r="M237" s="16"/>
      <c r="N237" s="13"/>
      <c r="O237" s="13"/>
      <c r="P237" s="13"/>
      <c r="Q237" s="13"/>
      <c r="R237" s="13" t="s">
        <v>774</v>
      </c>
      <c r="S237" s="13"/>
    </row>
    <row r="238" spans="1:19" ht="52.05" customHeight="1">
      <c r="A238" s="14" t="s">
        <v>542</v>
      </c>
      <c r="B238" s="13">
        <v>2025</v>
      </c>
      <c r="C238" s="15">
        <v>323</v>
      </c>
      <c r="D238" s="13" t="s">
        <v>1163</v>
      </c>
      <c r="E238" s="13" t="s">
        <v>1164</v>
      </c>
      <c r="F238" s="13"/>
      <c r="G238" s="13" t="s">
        <v>1165</v>
      </c>
      <c r="H238" s="13"/>
      <c r="I238" s="16"/>
      <c r="J238" s="16"/>
      <c r="K238" s="16"/>
      <c r="L238" s="16"/>
      <c r="M238" s="16"/>
      <c r="N238" s="13"/>
      <c r="O238" s="13"/>
      <c r="P238" s="13"/>
      <c r="Q238" s="13"/>
      <c r="R238" s="13" t="s">
        <v>774</v>
      </c>
      <c r="S238" s="13"/>
    </row>
    <row r="239" spans="1:19" ht="52.05" customHeight="1">
      <c r="A239" s="14" t="s">
        <v>542</v>
      </c>
      <c r="B239" s="13">
        <v>2026</v>
      </c>
      <c r="C239" s="15">
        <v>332</v>
      </c>
      <c r="D239" s="13" t="s">
        <v>1166</v>
      </c>
      <c r="E239" s="13" t="s">
        <v>1167</v>
      </c>
      <c r="F239" s="13" t="s">
        <v>1168</v>
      </c>
      <c r="G239" s="13" t="s">
        <v>1169</v>
      </c>
      <c r="H239" s="13"/>
      <c r="I239" s="16"/>
      <c r="J239" s="16"/>
      <c r="K239" s="16"/>
      <c r="L239" s="16"/>
      <c r="M239" s="16"/>
      <c r="N239" s="13"/>
      <c r="O239" s="13"/>
      <c r="P239" s="13"/>
      <c r="Q239" s="13"/>
      <c r="R239" s="13" t="s">
        <v>774</v>
      </c>
      <c r="S239" s="13"/>
    </row>
    <row r="240" spans="1:19" ht="52.05" customHeight="1">
      <c r="A240" s="14" t="s">
        <v>556</v>
      </c>
      <c r="B240" s="13">
        <v>2022</v>
      </c>
      <c r="C240" s="15">
        <v>374</v>
      </c>
      <c r="D240" s="13" t="s">
        <v>1140</v>
      </c>
      <c r="E240" s="13" t="s">
        <v>755</v>
      </c>
      <c r="F240" s="13" t="s">
        <v>756</v>
      </c>
      <c r="G240" s="13" t="s">
        <v>757</v>
      </c>
      <c r="H240" s="13">
        <v>70</v>
      </c>
      <c r="I240" s="16"/>
      <c r="J240" s="16"/>
      <c r="K240" s="16"/>
      <c r="L240" s="16">
        <v>73</v>
      </c>
      <c r="M240" s="16">
        <v>1.0428571428571429</v>
      </c>
      <c r="N240" s="13"/>
      <c r="O240" s="13"/>
      <c r="P240" s="13"/>
      <c r="Q240" s="13"/>
      <c r="R240" s="13" t="s">
        <v>774</v>
      </c>
      <c r="S240" s="18" t="s">
        <v>2152</v>
      </c>
    </row>
    <row r="241" spans="1:19" ht="52.05" customHeight="1">
      <c r="A241" s="14" t="s">
        <v>556</v>
      </c>
      <c r="B241" s="13">
        <v>2023</v>
      </c>
      <c r="C241" s="15">
        <v>366</v>
      </c>
      <c r="D241" s="18" t="s">
        <v>2153</v>
      </c>
      <c r="E241" s="18" t="s">
        <v>2078</v>
      </c>
      <c r="F241" s="13" t="s">
        <v>843</v>
      </c>
      <c r="G241" s="13" t="s">
        <v>761</v>
      </c>
      <c r="H241" s="13">
        <v>71</v>
      </c>
      <c r="I241" s="16"/>
      <c r="J241" s="16"/>
      <c r="K241" s="16"/>
      <c r="L241" s="16">
        <v>89</v>
      </c>
      <c r="M241" s="16">
        <v>1.2535211267605637</v>
      </c>
      <c r="N241" s="13"/>
      <c r="O241" s="13"/>
      <c r="P241" s="13"/>
      <c r="Q241" s="13"/>
      <c r="R241" s="13" t="s">
        <v>774</v>
      </c>
      <c r="S241" s="18" t="s">
        <v>2152</v>
      </c>
    </row>
    <row r="242" spans="1:19" ht="52.05" customHeight="1">
      <c r="A242" s="14" t="s">
        <v>556</v>
      </c>
      <c r="B242" s="13">
        <v>2024</v>
      </c>
      <c r="C242" s="15">
        <v>338</v>
      </c>
      <c r="D242" s="13" t="s">
        <v>908</v>
      </c>
      <c r="E242" s="13" t="s">
        <v>763</v>
      </c>
      <c r="F242" s="13" t="s">
        <v>1170</v>
      </c>
      <c r="G242" s="13" t="s">
        <v>1171</v>
      </c>
      <c r="H242" s="13">
        <v>75</v>
      </c>
      <c r="I242" s="16">
        <v>347</v>
      </c>
      <c r="J242" s="16">
        <v>373</v>
      </c>
      <c r="K242" s="16">
        <v>422</v>
      </c>
      <c r="L242" s="16">
        <v>93</v>
      </c>
      <c r="M242" s="16">
        <v>1.24</v>
      </c>
      <c r="N242" s="13"/>
      <c r="O242" s="13"/>
      <c r="P242" s="13"/>
      <c r="Q242" s="13"/>
      <c r="R242" s="13" t="s">
        <v>774</v>
      </c>
      <c r="S242" s="18" t="s">
        <v>2154</v>
      </c>
    </row>
    <row r="243" spans="1:19" ht="52.05" customHeight="1">
      <c r="A243" s="14" t="s">
        <v>556</v>
      </c>
      <c r="B243" s="13">
        <v>2025</v>
      </c>
      <c r="C243" s="15">
        <v>323</v>
      </c>
      <c r="D243" s="13" t="s">
        <v>848</v>
      </c>
      <c r="E243" s="13" t="s">
        <v>763</v>
      </c>
      <c r="F243" s="13" t="s">
        <v>1172</v>
      </c>
      <c r="G243" s="13" t="s">
        <v>1173</v>
      </c>
      <c r="H243" s="13">
        <v>45</v>
      </c>
      <c r="I243" s="16">
        <v>363</v>
      </c>
      <c r="J243" s="16"/>
      <c r="K243" s="16"/>
      <c r="L243" s="16">
        <v>56</v>
      </c>
      <c r="M243" s="16">
        <v>1.2444444444444445</v>
      </c>
      <c r="N243" s="13"/>
      <c r="O243" s="13"/>
      <c r="P243" s="13"/>
      <c r="Q243" s="13"/>
      <c r="R243" s="13" t="s">
        <v>774</v>
      </c>
      <c r="S243" s="18" t="s">
        <v>2152</v>
      </c>
    </row>
    <row r="244" spans="1:19" ht="52.05" customHeight="1">
      <c r="A244" s="14" t="s">
        <v>556</v>
      </c>
      <c r="B244" s="13">
        <v>2026</v>
      </c>
      <c r="C244" s="15">
        <v>324</v>
      </c>
      <c r="D244" s="13" t="s">
        <v>851</v>
      </c>
      <c r="E244" s="13" t="s">
        <v>763</v>
      </c>
      <c r="F244" s="13" t="s">
        <v>1174</v>
      </c>
      <c r="G244" s="13" t="s">
        <v>1175</v>
      </c>
      <c r="H244" s="13">
        <v>44</v>
      </c>
      <c r="I244" s="16">
        <v>366</v>
      </c>
      <c r="J244" s="16">
        <v>387</v>
      </c>
      <c r="K244" s="16">
        <v>439</v>
      </c>
      <c r="L244" s="16">
        <v>53</v>
      </c>
      <c r="M244" s="16">
        <v>1.2045454545454546</v>
      </c>
      <c r="N244" s="13"/>
      <c r="O244" s="13"/>
      <c r="P244" s="13"/>
      <c r="Q244" s="13"/>
      <c r="R244" s="13" t="s">
        <v>774</v>
      </c>
      <c r="S244" s="18" t="s">
        <v>2155</v>
      </c>
    </row>
    <row r="245" spans="1:19" ht="52.05" customHeight="1">
      <c r="A245" s="14" t="s">
        <v>561</v>
      </c>
      <c r="B245" s="13">
        <v>2022</v>
      </c>
      <c r="C245" s="15">
        <v>360</v>
      </c>
      <c r="D245" s="13" t="s">
        <v>865</v>
      </c>
      <c r="E245" s="13" t="s">
        <v>755</v>
      </c>
      <c r="F245" s="13" t="s">
        <v>756</v>
      </c>
      <c r="G245" s="13" t="s">
        <v>757</v>
      </c>
      <c r="H245" s="13"/>
      <c r="I245" s="16"/>
      <c r="J245" s="16"/>
      <c r="K245" s="16"/>
      <c r="L245" s="16"/>
      <c r="M245" s="16"/>
      <c r="N245" s="13"/>
      <c r="O245" s="13"/>
      <c r="P245" s="13"/>
      <c r="Q245" s="13"/>
      <c r="R245" s="13" t="s">
        <v>774</v>
      </c>
      <c r="S245" s="18" t="s">
        <v>2156</v>
      </c>
    </row>
    <row r="246" spans="1:19" ht="52.05" customHeight="1">
      <c r="A246" s="14" t="s">
        <v>561</v>
      </c>
      <c r="B246" s="13">
        <v>2023</v>
      </c>
      <c r="C246" s="15">
        <v>371</v>
      </c>
      <c r="D246" s="18" t="s">
        <v>2157</v>
      </c>
      <c r="E246" s="18" t="s">
        <v>2078</v>
      </c>
      <c r="F246" s="13" t="s">
        <v>843</v>
      </c>
      <c r="G246" s="13" t="s">
        <v>761</v>
      </c>
      <c r="H246" s="13">
        <v>16</v>
      </c>
      <c r="I246" s="16">
        <v>347</v>
      </c>
      <c r="J246" s="16"/>
      <c r="K246" s="16"/>
      <c r="L246" s="16">
        <v>18</v>
      </c>
      <c r="M246" s="16">
        <v>1.125</v>
      </c>
      <c r="N246" s="13"/>
      <c r="O246" s="13"/>
      <c r="P246" s="13"/>
      <c r="Q246" s="13"/>
      <c r="R246" s="13" t="s">
        <v>774</v>
      </c>
      <c r="S246" s="18" t="s">
        <v>2156</v>
      </c>
    </row>
    <row r="247" spans="1:19" ht="52.05" customHeight="1">
      <c r="A247" s="14" t="s">
        <v>561</v>
      </c>
      <c r="B247" s="13">
        <v>2024</v>
      </c>
      <c r="C247" s="15">
        <v>338</v>
      </c>
      <c r="D247" s="13" t="s">
        <v>908</v>
      </c>
      <c r="E247" s="13" t="s">
        <v>763</v>
      </c>
      <c r="F247" s="13" t="s">
        <v>1176</v>
      </c>
      <c r="G247" s="13" t="s">
        <v>1177</v>
      </c>
      <c r="H247" s="13">
        <v>34</v>
      </c>
      <c r="I247" s="16">
        <v>340</v>
      </c>
      <c r="J247" s="16">
        <v>393</v>
      </c>
      <c r="K247" s="16">
        <v>437</v>
      </c>
      <c r="L247" s="16">
        <v>38</v>
      </c>
      <c r="M247" s="16">
        <v>1.1176470588235294</v>
      </c>
      <c r="N247" s="13"/>
      <c r="O247" s="13"/>
      <c r="P247" s="13"/>
      <c r="Q247" s="13"/>
      <c r="R247" s="13" t="s">
        <v>774</v>
      </c>
      <c r="S247" s="18" t="s">
        <v>2158</v>
      </c>
    </row>
    <row r="248" spans="1:19" ht="52.05" customHeight="1">
      <c r="A248" s="14" t="s">
        <v>561</v>
      </c>
      <c r="B248" s="13">
        <v>2025</v>
      </c>
      <c r="C248" s="15">
        <v>323</v>
      </c>
      <c r="D248" s="13" t="s">
        <v>848</v>
      </c>
      <c r="E248" s="13" t="s">
        <v>763</v>
      </c>
      <c r="F248" s="13" t="s">
        <v>1178</v>
      </c>
      <c r="G248" s="13" t="s">
        <v>1179</v>
      </c>
      <c r="H248" s="13">
        <v>49</v>
      </c>
      <c r="I248" s="16">
        <v>330</v>
      </c>
      <c r="J248" s="16"/>
      <c r="K248" s="16"/>
      <c r="L248" s="16">
        <v>54</v>
      </c>
      <c r="M248" s="16">
        <v>1.1020408163265305</v>
      </c>
      <c r="N248" s="13"/>
      <c r="O248" s="13"/>
      <c r="P248" s="13"/>
      <c r="Q248" s="13"/>
      <c r="R248" s="13" t="s">
        <v>774</v>
      </c>
      <c r="S248" s="18" t="s">
        <v>2156</v>
      </c>
    </row>
    <row r="249" spans="1:19" ht="52.05" customHeight="1">
      <c r="A249" s="14" t="s">
        <v>561</v>
      </c>
      <c r="B249" s="13">
        <v>2026</v>
      </c>
      <c r="C249" s="15">
        <v>324</v>
      </c>
      <c r="D249" s="13" t="s">
        <v>851</v>
      </c>
      <c r="E249" s="13" t="s">
        <v>763</v>
      </c>
      <c r="F249" s="13" t="s">
        <v>1180</v>
      </c>
      <c r="G249" s="13" t="s">
        <v>1181</v>
      </c>
      <c r="H249" s="13">
        <v>37</v>
      </c>
      <c r="I249" s="16">
        <v>343</v>
      </c>
      <c r="J249" s="16">
        <v>400</v>
      </c>
      <c r="K249" s="16">
        <v>436</v>
      </c>
      <c r="L249" s="16">
        <v>48</v>
      </c>
      <c r="M249" s="16">
        <v>1.2972972972972974</v>
      </c>
      <c r="N249" s="13"/>
      <c r="O249" s="13"/>
      <c r="P249" s="13"/>
      <c r="Q249" s="13"/>
      <c r="R249" s="13" t="s">
        <v>774</v>
      </c>
      <c r="S249" s="18" t="s">
        <v>2159</v>
      </c>
    </row>
    <row r="250" spans="1:19" ht="52.05" customHeight="1">
      <c r="A250" s="14" t="s">
        <v>564</v>
      </c>
      <c r="B250" s="13">
        <v>2022</v>
      </c>
      <c r="C250" s="15">
        <v>362</v>
      </c>
      <c r="D250" s="13" t="s">
        <v>1182</v>
      </c>
      <c r="E250" s="13" t="s">
        <v>755</v>
      </c>
      <c r="F250" s="13" t="s">
        <v>756</v>
      </c>
      <c r="G250" s="13" t="s">
        <v>757</v>
      </c>
      <c r="H250" s="13">
        <v>26</v>
      </c>
      <c r="I250" s="16"/>
      <c r="J250" s="16">
        <v>394.5</v>
      </c>
      <c r="K250" s="16">
        <v>431</v>
      </c>
      <c r="L250" s="16">
        <v>32</v>
      </c>
      <c r="M250" s="16">
        <v>1.2307692307692308</v>
      </c>
      <c r="N250" s="13"/>
      <c r="O250" s="13"/>
      <c r="P250" s="13"/>
      <c r="Q250" s="13"/>
      <c r="R250" s="13" t="s">
        <v>774</v>
      </c>
      <c r="S250" s="18" t="s">
        <v>2160</v>
      </c>
    </row>
    <row r="251" spans="1:19" ht="52.05" customHeight="1">
      <c r="A251" s="14" t="s">
        <v>564</v>
      </c>
      <c r="B251" s="13">
        <v>2023</v>
      </c>
      <c r="C251" s="15">
        <v>362</v>
      </c>
      <c r="D251" s="18" t="s">
        <v>2161</v>
      </c>
      <c r="E251" s="18" t="s">
        <v>2078</v>
      </c>
      <c r="F251" s="13" t="s">
        <v>843</v>
      </c>
      <c r="G251" s="13" t="s">
        <v>761</v>
      </c>
      <c r="H251" s="13">
        <v>30</v>
      </c>
      <c r="I251" s="16">
        <v>362</v>
      </c>
      <c r="J251" s="16"/>
      <c r="K251" s="16"/>
      <c r="L251" s="16">
        <v>38</v>
      </c>
      <c r="M251" s="16">
        <v>1.2666666666666666</v>
      </c>
      <c r="N251" s="13"/>
      <c r="O251" s="13"/>
      <c r="P251" s="13"/>
      <c r="Q251" s="13"/>
      <c r="R251" s="13" t="s">
        <v>774</v>
      </c>
      <c r="S251" s="18" t="s">
        <v>2162</v>
      </c>
    </row>
    <row r="252" spans="1:19" ht="52.05" customHeight="1">
      <c r="A252" s="14" t="s">
        <v>564</v>
      </c>
      <c r="B252" s="13">
        <v>2024</v>
      </c>
      <c r="C252" s="15">
        <v>338</v>
      </c>
      <c r="D252" s="13" t="s">
        <v>908</v>
      </c>
      <c r="E252" s="13" t="s">
        <v>763</v>
      </c>
      <c r="F252" s="13" t="s">
        <v>1183</v>
      </c>
      <c r="G252" s="13" t="s">
        <v>1184</v>
      </c>
      <c r="H252" s="13">
        <v>32</v>
      </c>
      <c r="I252" s="16">
        <v>372</v>
      </c>
      <c r="J252" s="16">
        <v>388</v>
      </c>
      <c r="K252" s="16">
        <v>428</v>
      </c>
      <c r="L252" s="16">
        <v>41</v>
      </c>
      <c r="M252" s="16">
        <v>1.28125</v>
      </c>
      <c r="N252" s="13"/>
      <c r="O252" s="13"/>
      <c r="P252" s="13"/>
      <c r="Q252" s="13"/>
      <c r="R252" s="13" t="s">
        <v>774</v>
      </c>
      <c r="S252" s="18" t="s">
        <v>2163</v>
      </c>
    </row>
    <row r="253" spans="1:19" ht="52.05" customHeight="1">
      <c r="A253" s="14" t="s">
        <v>564</v>
      </c>
      <c r="B253" s="13">
        <v>2025</v>
      </c>
      <c r="C253" s="15">
        <v>323</v>
      </c>
      <c r="D253" s="13" t="s">
        <v>848</v>
      </c>
      <c r="E253" s="13" t="s">
        <v>763</v>
      </c>
      <c r="F253" s="13" t="s">
        <v>1185</v>
      </c>
      <c r="G253" s="13" t="s">
        <v>1186</v>
      </c>
      <c r="H253" s="13">
        <v>40</v>
      </c>
      <c r="I253" s="16">
        <v>361</v>
      </c>
      <c r="J253" s="16">
        <v>387.5</v>
      </c>
      <c r="K253" s="16">
        <v>426</v>
      </c>
      <c r="L253" s="16">
        <v>48</v>
      </c>
      <c r="M253" s="16">
        <v>1.2</v>
      </c>
      <c r="N253" s="13"/>
      <c r="O253" s="13"/>
      <c r="P253" s="13"/>
      <c r="Q253" s="13"/>
      <c r="R253" s="13" t="s">
        <v>774</v>
      </c>
      <c r="S253" s="18" t="s">
        <v>2164</v>
      </c>
    </row>
    <row r="254" spans="1:19" ht="52.05" customHeight="1">
      <c r="A254" s="14" t="s">
        <v>564</v>
      </c>
      <c r="B254" s="13">
        <v>2026</v>
      </c>
      <c r="C254" s="15">
        <v>324</v>
      </c>
      <c r="D254" s="13" t="s">
        <v>851</v>
      </c>
      <c r="E254" s="13" t="s">
        <v>763</v>
      </c>
      <c r="F254" s="13" t="s">
        <v>1187</v>
      </c>
      <c r="G254" s="13" t="s">
        <v>1188</v>
      </c>
      <c r="H254" s="13">
        <v>35</v>
      </c>
      <c r="I254" s="16">
        <v>357</v>
      </c>
      <c r="J254" s="16">
        <v>381</v>
      </c>
      <c r="K254" s="16">
        <v>432</v>
      </c>
      <c r="L254" s="16">
        <v>42</v>
      </c>
      <c r="M254" s="16">
        <v>1.2</v>
      </c>
      <c r="N254" s="13"/>
      <c r="O254" s="13"/>
      <c r="P254" s="13"/>
      <c r="Q254" s="13"/>
      <c r="R254" s="13" t="s">
        <v>774</v>
      </c>
      <c r="S254" s="18" t="s">
        <v>2165</v>
      </c>
    </row>
    <row r="255" spans="1:19" ht="52.05" customHeight="1">
      <c r="A255" s="14" t="s">
        <v>570</v>
      </c>
      <c r="B255" s="13">
        <v>2022</v>
      </c>
      <c r="C255" s="15"/>
      <c r="D255" s="13" t="s">
        <v>981</v>
      </c>
      <c r="E255" s="13" t="s">
        <v>969</v>
      </c>
      <c r="F255" s="13"/>
      <c r="G255" s="13" t="s">
        <v>757</v>
      </c>
      <c r="H255" s="13"/>
      <c r="I255" s="16"/>
      <c r="J255" s="16"/>
      <c r="K255" s="16"/>
      <c r="L255" s="16"/>
      <c r="M255" s="16"/>
      <c r="N255" s="13"/>
      <c r="O255" s="13"/>
      <c r="P255" s="13"/>
      <c r="Q255" s="13"/>
      <c r="R255" s="13" t="s">
        <v>774</v>
      </c>
      <c r="S255" s="18" t="s">
        <v>2166</v>
      </c>
    </row>
    <row r="256" spans="1:19" ht="52.05" customHeight="1">
      <c r="A256" s="14" t="s">
        <v>570</v>
      </c>
      <c r="B256" s="13">
        <v>2023</v>
      </c>
      <c r="C256" s="15"/>
      <c r="D256" s="13" t="s">
        <v>841</v>
      </c>
      <c r="E256" s="13" t="s">
        <v>842</v>
      </c>
      <c r="F256" s="13" t="s">
        <v>843</v>
      </c>
      <c r="G256" s="13" t="s">
        <v>761</v>
      </c>
      <c r="H256" s="13"/>
      <c r="I256" s="16"/>
      <c r="J256" s="16"/>
      <c r="K256" s="16"/>
      <c r="L256" s="16"/>
      <c r="M256" s="16"/>
      <c r="N256" s="13"/>
      <c r="O256" s="13"/>
      <c r="P256" s="13"/>
      <c r="Q256" s="13"/>
      <c r="R256" s="13" t="s">
        <v>774</v>
      </c>
      <c r="S256" s="18" t="s">
        <v>2166</v>
      </c>
    </row>
    <row r="257" spans="1:19" ht="52.05" customHeight="1">
      <c r="A257" s="14" t="s">
        <v>570</v>
      </c>
      <c r="B257" s="13">
        <v>2024</v>
      </c>
      <c r="C257" s="15"/>
      <c r="D257" s="13" t="s">
        <v>968</v>
      </c>
      <c r="E257" s="13" t="s">
        <v>969</v>
      </c>
      <c r="F257" s="13"/>
      <c r="G257" s="13" t="s">
        <v>970</v>
      </c>
      <c r="H257" s="13"/>
      <c r="I257" s="16"/>
      <c r="J257" s="16"/>
      <c r="K257" s="16"/>
      <c r="L257" s="16"/>
      <c r="M257" s="16"/>
      <c r="N257" s="13"/>
      <c r="O257" s="13"/>
      <c r="P257" s="13"/>
      <c r="Q257" s="13"/>
      <c r="R257" s="13" t="s">
        <v>774</v>
      </c>
      <c r="S257" s="18" t="s">
        <v>2166</v>
      </c>
    </row>
    <row r="258" spans="1:19" ht="52.05" customHeight="1">
      <c r="A258" s="14" t="s">
        <v>570</v>
      </c>
      <c r="B258" s="13">
        <v>2025</v>
      </c>
      <c r="C258" s="15">
        <v>323</v>
      </c>
      <c r="D258" s="13" t="s">
        <v>848</v>
      </c>
      <c r="E258" s="13" t="s">
        <v>763</v>
      </c>
      <c r="F258" s="13" t="s">
        <v>1189</v>
      </c>
      <c r="G258" s="13" t="s">
        <v>1190</v>
      </c>
      <c r="H258" s="13">
        <v>10</v>
      </c>
      <c r="I258" s="16">
        <v>331</v>
      </c>
      <c r="J258" s="16">
        <v>374.5</v>
      </c>
      <c r="K258" s="16">
        <v>402</v>
      </c>
      <c r="L258" s="16">
        <v>13</v>
      </c>
      <c r="M258" s="16">
        <v>1.3</v>
      </c>
      <c r="N258" s="13"/>
      <c r="O258" s="13"/>
      <c r="P258" s="13"/>
      <c r="Q258" s="13"/>
      <c r="R258" s="13" t="s">
        <v>774</v>
      </c>
      <c r="S258" s="18" t="s">
        <v>2167</v>
      </c>
    </row>
    <row r="259" spans="1:19" ht="52.05" customHeight="1">
      <c r="A259" s="14" t="s">
        <v>570</v>
      </c>
      <c r="B259" s="13">
        <v>2026</v>
      </c>
      <c r="C259" s="15">
        <v>324</v>
      </c>
      <c r="D259" s="13" t="s">
        <v>851</v>
      </c>
      <c r="E259" s="13" t="s">
        <v>763</v>
      </c>
      <c r="F259" s="13" t="s">
        <v>1191</v>
      </c>
      <c r="G259" s="13" t="s">
        <v>1192</v>
      </c>
      <c r="H259" s="13">
        <v>10</v>
      </c>
      <c r="I259" s="16">
        <v>360</v>
      </c>
      <c r="J259" s="16">
        <v>387</v>
      </c>
      <c r="K259" s="16">
        <v>420</v>
      </c>
      <c r="L259" s="16">
        <v>18</v>
      </c>
      <c r="M259" s="16">
        <v>1.8</v>
      </c>
      <c r="N259" s="13"/>
      <c r="O259" s="13"/>
      <c r="P259" s="13"/>
      <c r="Q259" s="13"/>
      <c r="R259" s="13" t="s">
        <v>774</v>
      </c>
      <c r="S259" s="18" t="s">
        <v>2168</v>
      </c>
    </row>
    <row r="260" spans="1:19" ht="52.05" customHeight="1">
      <c r="A260" s="14" t="s">
        <v>574</v>
      </c>
      <c r="B260" s="13">
        <v>2022</v>
      </c>
      <c r="C260" s="15">
        <v>380</v>
      </c>
      <c r="D260" s="13" t="s">
        <v>827</v>
      </c>
      <c r="E260" s="13" t="s">
        <v>755</v>
      </c>
      <c r="F260" s="13" t="s">
        <v>756</v>
      </c>
      <c r="G260" s="13" t="s">
        <v>757</v>
      </c>
      <c r="H260" s="13">
        <v>55</v>
      </c>
      <c r="I260" s="16"/>
      <c r="J260" s="16"/>
      <c r="K260" s="16"/>
      <c r="L260" s="16">
        <v>74</v>
      </c>
      <c r="M260" s="16">
        <v>1.3454545454545457</v>
      </c>
      <c r="N260" s="13"/>
      <c r="O260" s="13"/>
      <c r="P260" s="13"/>
      <c r="Q260" s="13"/>
      <c r="R260" s="13" t="s">
        <v>774</v>
      </c>
      <c r="S260" s="18" t="s">
        <v>2169</v>
      </c>
    </row>
    <row r="261" spans="1:19" ht="52.05" customHeight="1">
      <c r="A261" s="14" t="s">
        <v>574</v>
      </c>
      <c r="B261" s="13">
        <v>2023</v>
      </c>
      <c r="C261" s="15">
        <v>386</v>
      </c>
      <c r="D261" s="18" t="s">
        <v>2170</v>
      </c>
      <c r="E261" s="18" t="s">
        <v>2078</v>
      </c>
      <c r="F261" s="13" t="s">
        <v>843</v>
      </c>
      <c r="G261" s="13" t="s">
        <v>761</v>
      </c>
      <c r="H261" s="13">
        <v>55</v>
      </c>
      <c r="I261" s="16">
        <v>389</v>
      </c>
      <c r="J261" s="16"/>
      <c r="K261" s="16"/>
      <c r="L261" s="16">
        <v>72</v>
      </c>
      <c r="M261" s="16">
        <v>1.3090909090909091</v>
      </c>
      <c r="N261" s="13"/>
      <c r="O261" s="13"/>
      <c r="P261" s="13"/>
      <c r="Q261" s="13"/>
      <c r="R261" s="13" t="s">
        <v>774</v>
      </c>
      <c r="S261" s="18" t="s">
        <v>2169</v>
      </c>
    </row>
    <row r="262" spans="1:19" ht="52.05" customHeight="1">
      <c r="A262" s="14" t="s">
        <v>574</v>
      </c>
      <c r="B262" s="13">
        <v>2024</v>
      </c>
      <c r="C262" s="15">
        <v>338</v>
      </c>
      <c r="D262" s="13" t="s">
        <v>908</v>
      </c>
      <c r="E262" s="13" t="s">
        <v>763</v>
      </c>
      <c r="F262" s="13" t="s">
        <v>1193</v>
      </c>
      <c r="G262" s="13" t="s">
        <v>1194</v>
      </c>
      <c r="H262" s="13">
        <v>47</v>
      </c>
      <c r="I262" s="16">
        <v>344</v>
      </c>
      <c r="J262" s="16">
        <v>377</v>
      </c>
      <c r="K262" s="16">
        <v>427</v>
      </c>
      <c r="L262" s="16">
        <v>60</v>
      </c>
      <c r="M262" s="16">
        <v>1.2765957446808511</v>
      </c>
      <c r="N262" s="13"/>
      <c r="O262" s="13"/>
      <c r="P262" s="13"/>
      <c r="Q262" s="13"/>
      <c r="R262" s="13" t="s">
        <v>774</v>
      </c>
      <c r="S262" s="18" t="s">
        <v>2171</v>
      </c>
    </row>
    <row r="263" spans="1:19" ht="52.05" customHeight="1">
      <c r="A263" s="14" t="s">
        <v>574</v>
      </c>
      <c r="B263" s="13">
        <v>2025</v>
      </c>
      <c r="C263" s="15">
        <v>323</v>
      </c>
      <c r="D263" s="13" t="s">
        <v>848</v>
      </c>
      <c r="E263" s="13" t="s">
        <v>763</v>
      </c>
      <c r="F263" s="13" t="s">
        <v>1195</v>
      </c>
      <c r="G263" s="13" t="s">
        <v>1196</v>
      </c>
      <c r="H263" s="13">
        <v>31</v>
      </c>
      <c r="I263" s="16">
        <v>325</v>
      </c>
      <c r="J263" s="16">
        <v>356</v>
      </c>
      <c r="K263" s="16">
        <v>406</v>
      </c>
      <c r="L263" s="16">
        <v>36</v>
      </c>
      <c r="M263" s="16">
        <v>1.1612903225806452</v>
      </c>
      <c r="N263" s="13"/>
      <c r="O263" s="13"/>
      <c r="P263" s="13"/>
      <c r="Q263" s="13"/>
      <c r="R263" s="13" t="s">
        <v>774</v>
      </c>
      <c r="S263" s="18" t="s">
        <v>2172</v>
      </c>
    </row>
    <row r="264" spans="1:19" ht="52.05" customHeight="1">
      <c r="A264" s="14" t="s">
        <v>574</v>
      </c>
      <c r="B264" s="13">
        <v>2026</v>
      </c>
      <c r="C264" s="15">
        <v>324</v>
      </c>
      <c r="D264" s="13" t="s">
        <v>851</v>
      </c>
      <c r="E264" s="13" t="s">
        <v>763</v>
      </c>
      <c r="F264" s="13" t="s">
        <v>1197</v>
      </c>
      <c r="G264" s="13" t="s">
        <v>1198</v>
      </c>
      <c r="H264" s="13">
        <v>42</v>
      </c>
      <c r="I264" s="16">
        <v>341</v>
      </c>
      <c r="J264" s="16">
        <v>372.5</v>
      </c>
      <c r="K264" s="16">
        <v>421</v>
      </c>
      <c r="L264" s="16">
        <v>52</v>
      </c>
      <c r="M264" s="16">
        <v>1.2380952380952379</v>
      </c>
      <c r="N264" s="13"/>
      <c r="O264" s="13"/>
      <c r="P264" s="13"/>
      <c r="Q264" s="13"/>
      <c r="R264" s="13" t="s">
        <v>774</v>
      </c>
      <c r="S264" s="18" t="s">
        <v>2173</v>
      </c>
    </row>
    <row r="265" spans="1:19" ht="52.05" customHeight="1">
      <c r="A265" s="14" t="s">
        <v>577</v>
      </c>
      <c r="B265" s="13">
        <v>2022</v>
      </c>
      <c r="C265" s="15">
        <v>360</v>
      </c>
      <c r="D265" s="13" t="s">
        <v>865</v>
      </c>
      <c r="E265" s="13" t="s">
        <v>755</v>
      </c>
      <c r="F265" s="13" t="s">
        <v>756</v>
      </c>
      <c r="G265" s="13" t="s">
        <v>757</v>
      </c>
      <c r="H265" s="13">
        <v>17</v>
      </c>
      <c r="I265" s="16"/>
      <c r="J265" s="16"/>
      <c r="K265" s="16"/>
      <c r="L265" s="16">
        <v>19</v>
      </c>
      <c r="M265" s="16">
        <v>1.1176470588235294</v>
      </c>
      <c r="N265" s="13"/>
      <c r="O265" s="13"/>
      <c r="P265" s="13"/>
      <c r="Q265" s="13"/>
      <c r="R265" s="13" t="s">
        <v>774</v>
      </c>
      <c r="S265" s="18" t="s">
        <v>2174</v>
      </c>
    </row>
    <row r="266" spans="1:19" ht="52.05" customHeight="1">
      <c r="A266" s="14" t="s">
        <v>577</v>
      </c>
      <c r="B266" s="13">
        <v>2023</v>
      </c>
      <c r="C266" s="15">
        <v>377</v>
      </c>
      <c r="D266" s="18" t="s">
        <v>2175</v>
      </c>
      <c r="E266" s="18" t="s">
        <v>2078</v>
      </c>
      <c r="F266" s="13" t="s">
        <v>843</v>
      </c>
      <c r="G266" s="13" t="s">
        <v>761</v>
      </c>
      <c r="H266" s="13">
        <v>9</v>
      </c>
      <c r="I266" s="16">
        <v>385</v>
      </c>
      <c r="J266" s="16"/>
      <c r="K266" s="16"/>
      <c r="L266" s="16">
        <v>15</v>
      </c>
      <c r="M266" s="16">
        <v>1.6666666666666667</v>
      </c>
      <c r="N266" s="13"/>
      <c r="O266" s="13"/>
      <c r="P266" s="13"/>
      <c r="Q266" s="13"/>
      <c r="R266" s="13" t="s">
        <v>774</v>
      </c>
      <c r="S266" s="18" t="s">
        <v>2174</v>
      </c>
    </row>
    <row r="267" spans="1:19" ht="52.05" customHeight="1">
      <c r="A267" s="14" t="s">
        <v>577</v>
      </c>
      <c r="B267" s="13">
        <v>2024</v>
      </c>
      <c r="C267" s="15">
        <v>338</v>
      </c>
      <c r="D267" s="13" t="s">
        <v>908</v>
      </c>
      <c r="E267" s="13" t="s">
        <v>763</v>
      </c>
      <c r="F267" s="13" t="s">
        <v>1199</v>
      </c>
      <c r="G267" s="13" t="s">
        <v>1200</v>
      </c>
      <c r="H267" s="13">
        <v>9</v>
      </c>
      <c r="I267" s="16">
        <v>354</v>
      </c>
      <c r="J267" s="16">
        <v>365</v>
      </c>
      <c r="K267" s="16">
        <v>417</v>
      </c>
      <c r="L267" s="16">
        <v>9</v>
      </c>
      <c r="M267" s="16">
        <v>1</v>
      </c>
      <c r="N267" s="13"/>
      <c r="O267" s="13"/>
      <c r="P267" s="13"/>
      <c r="Q267" s="13"/>
      <c r="R267" s="13" t="s">
        <v>774</v>
      </c>
      <c r="S267" s="18" t="s">
        <v>2176</v>
      </c>
    </row>
    <row r="268" spans="1:19" ht="52.05" customHeight="1">
      <c r="A268" s="14" t="s">
        <v>577</v>
      </c>
      <c r="B268" s="13">
        <v>2025</v>
      </c>
      <c r="C268" s="15">
        <v>323</v>
      </c>
      <c r="D268" s="13" t="s">
        <v>848</v>
      </c>
      <c r="E268" s="13" t="s">
        <v>763</v>
      </c>
      <c r="F268" s="13" t="s">
        <v>1201</v>
      </c>
      <c r="G268" s="13" t="s">
        <v>1202</v>
      </c>
      <c r="H268" s="13">
        <v>14</v>
      </c>
      <c r="I268" s="16">
        <v>342</v>
      </c>
      <c r="J268" s="16">
        <v>355.5</v>
      </c>
      <c r="K268" s="16">
        <v>399</v>
      </c>
      <c r="L268" s="16">
        <v>14</v>
      </c>
      <c r="M268" s="16">
        <v>1</v>
      </c>
      <c r="N268" s="13"/>
      <c r="O268" s="13"/>
      <c r="P268" s="13"/>
      <c r="Q268" s="13"/>
      <c r="R268" s="13" t="s">
        <v>774</v>
      </c>
      <c r="S268" s="18" t="s">
        <v>2177</v>
      </c>
    </row>
    <row r="269" spans="1:19" ht="52.05" customHeight="1">
      <c r="A269" s="14" t="s">
        <v>577</v>
      </c>
      <c r="B269" s="13">
        <v>2026</v>
      </c>
      <c r="C269" s="15">
        <v>324</v>
      </c>
      <c r="D269" s="13" t="s">
        <v>851</v>
      </c>
      <c r="E269" s="13" t="s">
        <v>763</v>
      </c>
      <c r="F269" s="13" t="s">
        <v>1203</v>
      </c>
      <c r="G269" s="13" t="s">
        <v>1204</v>
      </c>
      <c r="H269" s="13">
        <v>11</v>
      </c>
      <c r="I269" s="16">
        <v>370</v>
      </c>
      <c r="J269" s="16">
        <v>386</v>
      </c>
      <c r="K269" s="16">
        <v>436</v>
      </c>
      <c r="L269" s="16">
        <v>13</v>
      </c>
      <c r="M269" s="16">
        <v>1.1818181818181821</v>
      </c>
      <c r="N269" s="13"/>
      <c r="O269" s="13"/>
      <c r="P269" s="13"/>
      <c r="Q269" s="13"/>
      <c r="R269" s="13" t="s">
        <v>774</v>
      </c>
      <c r="S269" s="18" t="s">
        <v>2178</v>
      </c>
    </row>
    <row r="270" spans="1:19" ht="52.05" customHeight="1">
      <c r="A270" s="14" t="s">
        <v>584</v>
      </c>
      <c r="B270" s="13">
        <v>2022</v>
      </c>
      <c r="C270" s="15">
        <v>360</v>
      </c>
      <c r="D270" s="13" t="s">
        <v>865</v>
      </c>
      <c r="E270" s="13" t="s">
        <v>755</v>
      </c>
      <c r="F270" s="13" t="s">
        <v>756</v>
      </c>
      <c r="G270" s="13" t="s">
        <v>757</v>
      </c>
      <c r="H270" s="13">
        <v>86</v>
      </c>
      <c r="I270" s="16">
        <v>360</v>
      </c>
      <c r="J270" s="16"/>
      <c r="K270" s="16"/>
      <c r="L270" s="16">
        <v>107</v>
      </c>
      <c r="M270" s="16">
        <v>1.2441860465116279</v>
      </c>
      <c r="N270" s="13"/>
      <c r="O270" s="13"/>
      <c r="P270" s="13"/>
      <c r="Q270" s="13"/>
      <c r="R270" s="13" t="s">
        <v>774</v>
      </c>
      <c r="S270" s="18" t="s">
        <v>2179</v>
      </c>
    </row>
    <row r="271" spans="1:19" ht="52.05" customHeight="1">
      <c r="A271" s="14" t="s">
        <v>584</v>
      </c>
      <c r="B271" s="13">
        <v>2023</v>
      </c>
      <c r="C271" s="15">
        <v>349</v>
      </c>
      <c r="D271" s="18" t="s">
        <v>2180</v>
      </c>
      <c r="E271" s="18" t="s">
        <v>2078</v>
      </c>
      <c r="F271" s="13" t="s">
        <v>843</v>
      </c>
      <c r="G271" s="13" t="s">
        <v>761</v>
      </c>
      <c r="H271" s="13">
        <v>67</v>
      </c>
      <c r="I271" s="16">
        <v>346</v>
      </c>
      <c r="J271" s="16">
        <v>381</v>
      </c>
      <c r="K271" s="16">
        <v>441</v>
      </c>
      <c r="L271" s="16">
        <v>98</v>
      </c>
      <c r="M271" s="16">
        <v>1.4626865671641791</v>
      </c>
      <c r="N271" s="13"/>
      <c r="O271" s="13"/>
      <c r="P271" s="13"/>
      <c r="Q271" s="13"/>
      <c r="R271" s="13" t="s">
        <v>774</v>
      </c>
      <c r="S271" s="18" t="s">
        <v>2181</v>
      </c>
    </row>
    <row r="272" spans="1:19" ht="52.05" customHeight="1">
      <c r="A272" s="14" t="s">
        <v>584</v>
      </c>
      <c r="B272" s="13">
        <v>2024</v>
      </c>
      <c r="C272" s="15">
        <v>338</v>
      </c>
      <c r="D272" s="13" t="s">
        <v>908</v>
      </c>
      <c r="E272" s="13" t="s">
        <v>763</v>
      </c>
      <c r="F272" s="13" t="s">
        <v>1205</v>
      </c>
      <c r="G272" s="13" t="s">
        <v>1206</v>
      </c>
      <c r="H272" s="13">
        <v>83</v>
      </c>
      <c r="I272" s="16">
        <v>338</v>
      </c>
      <c r="J272" s="16">
        <v>376</v>
      </c>
      <c r="K272" s="16">
        <v>426</v>
      </c>
      <c r="L272" s="16">
        <v>111</v>
      </c>
      <c r="M272" s="16">
        <v>1.3373493975903614</v>
      </c>
      <c r="N272" s="13"/>
      <c r="O272" s="13"/>
      <c r="P272" s="13"/>
      <c r="Q272" s="13"/>
      <c r="R272" s="13" t="s">
        <v>774</v>
      </c>
      <c r="S272" s="18" t="s">
        <v>2182</v>
      </c>
    </row>
    <row r="273" spans="1:19" ht="52.05" customHeight="1">
      <c r="A273" s="14" t="s">
        <v>584</v>
      </c>
      <c r="B273" s="13">
        <v>2025</v>
      </c>
      <c r="C273" s="15">
        <v>323</v>
      </c>
      <c r="D273" s="13" t="s">
        <v>848</v>
      </c>
      <c r="E273" s="13" t="s">
        <v>763</v>
      </c>
      <c r="F273" s="13" t="s">
        <v>1207</v>
      </c>
      <c r="G273" s="13" t="s">
        <v>1208</v>
      </c>
      <c r="H273" s="13">
        <v>67</v>
      </c>
      <c r="I273" s="16">
        <v>326</v>
      </c>
      <c r="J273" s="16"/>
      <c r="K273" s="16"/>
      <c r="L273" s="16">
        <v>85</v>
      </c>
      <c r="M273" s="16">
        <v>1.2686567164179106</v>
      </c>
      <c r="N273" s="13"/>
      <c r="O273" s="13"/>
      <c r="P273" s="13"/>
      <c r="Q273" s="13"/>
      <c r="R273" s="13" t="s">
        <v>774</v>
      </c>
      <c r="S273" s="18" t="s">
        <v>2179</v>
      </c>
    </row>
    <row r="274" spans="1:19" ht="52.05" customHeight="1">
      <c r="A274" s="14" t="s">
        <v>584</v>
      </c>
      <c r="B274" s="13">
        <v>2026</v>
      </c>
      <c r="C274" s="15">
        <v>324</v>
      </c>
      <c r="D274" s="13" t="s">
        <v>851</v>
      </c>
      <c r="E274" s="13" t="s">
        <v>763</v>
      </c>
      <c r="F274" s="13" t="s">
        <v>1209</v>
      </c>
      <c r="G274" s="13" t="s">
        <v>1210</v>
      </c>
      <c r="H274" s="13">
        <v>54</v>
      </c>
      <c r="I274" s="16">
        <v>372</v>
      </c>
      <c r="J274" s="16">
        <v>394.5</v>
      </c>
      <c r="K274" s="16">
        <v>438</v>
      </c>
      <c r="L274" s="16">
        <v>73</v>
      </c>
      <c r="M274" s="16">
        <v>1.3518518518518521</v>
      </c>
      <c r="N274" s="13"/>
      <c r="O274" s="13"/>
      <c r="P274" s="13"/>
      <c r="Q274" s="13"/>
      <c r="R274" s="13" t="s">
        <v>774</v>
      </c>
      <c r="S274" s="18" t="s">
        <v>2183</v>
      </c>
    </row>
    <row r="275" spans="1:19" ht="52.05" customHeight="1">
      <c r="A275" s="14" t="s">
        <v>592</v>
      </c>
      <c r="B275" s="13">
        <v>2022</v>
      </c>
      <c r="C275" s="15">
        <v>360</v>
      </c>
      <c r="D275" s="13" t="s">
        <v>865</v>
      </c>
      <c r="E275" s="13" t="s">
        <v>755</v>
      </c>
      <c r="F275" s="13" t="s">
        <v>756</v>
      </c>
      <c r="G275" s="13" t="s">
        <v>757</v>
      </c>
      <c r="H275" s="13">
        <v>10</v>
      </c>
      <c r="I275" s="16"/>
      <c r="J275" s="16">
        <v>406</v>
      </c>
      <c r="K275" s="16">
        <v>427</v>
      </c>
      <c r="L275" s="16">
        <v>13</v>
      </c>
      <c r="M275" s="16">
        <v>1.3</v>
      </c>
      <c r="N275" s="13"/>
      <c r="O275" s="13"/>
      <c r="P275" s="13"/>
      <c r="Q275" s="13"/>
      <c r="R275" s="13" t="s">
        <v>774</v>
      </c>
      <c r="S275" s="18" t="s">
        <v>2184</v>
      </c>
    </row>
    <row r="276" spans="1:19" ht="52.05" customHeight="1">
      <c r="A276" s="14" t="s">
        <v>592</v>
      </c>
      <c r="B276" s="13">
        <v>2023</v>
      </c>
      <c r="C276" s="15">
        <v>367</v>
      </c>
      <c r="D276" s="18" t="s">
        <v>2185</v>
      </c>
      <c r="E276" s="18" t="s">
        <v>2078</v>
      </c>
      <c r="F276" s="13" t="s">
        <v>843</v>
      </c>
      <c r="G276" s="13" t="s">
        <v>761</v>
      </c>
      <c r="H276" s="13">
        <v>9</v>
      </c>
      <c r="I276" s="16">
        <v>372</v>
      </c>
      <c r="J276" s="16"/>
      <c r="K276" s="16"/>
      <c r="L276" s="16">
        <v>14</v>
      </c>
      <c r="M276" s="16">
        <v>1.5555555555555556</v>
      </c>
      <c r="N276" s="13"/>
      <c r="O276" s="13"/>
      <c r="P276" s="13"/>
      <c r="Q276" s="13"/>
      <c r="R276" s="13" t="s">
        <v>774</v>
      </c>
      <c r="S276" s="18" t="s">
        <v>2186</v>
      </c>
    </row>
    <row r="277" spans="1:19" ht="52.05" customHeight="1">
      <c r="A277" s="14" t="s">
        <v>592</v>
      </c>
      <c r="B277" s="13">
        <v>2024</v>
      </c>
      <c r="C277" s="15">
        <v>338</v>
      </c>
      <c r="D277" s="13" t="s">
        <v>908</v>
      </c>
      <c r="E277" s="13" t="s">
        <v>763</v>
      </c>
      <c r="F277" s="13" t="s">
        <v>1211</v>
      </c>
      <c r="G277" s="13" t="s">
        <v>1212</v>
      </c>
      <c r="H277" s="13">
        <v>9</v>
      </c>
      <c r="I277" s="16">
        <v>381</v>
      </c>
      <c r="J277" s="16">
        <v>398</v>
      </c>
      <c r="K277" s="16">
        <v>412</v>
      </c>
      <c r="L277" s="16">
        <v>14</v>
      </c>
      <c r="M277" s="16">
        <v>1.5555555555555556</v>
      </c>
      <c r="N277" s="13"/>
      <c r="O277" s="13"/>
      <c r="P277" s="13"/>
      <c r="Q277" s="13"/>
      <c r="R277" s="13" t="s">
        <v>774</v>
      </c>
      <c r="S277" s="18" t="s">
        <v>2187</v>
      </c>
    </row>
    <row r="278" spans="1:19" ht="52.05" customHeight="1">
      <c r="A278" s="14" t="s">
        <v>592</v>
      </c>
      <c r="B278" s="13">
        <v>2025</v>
      </c>
      <c r="C278" s="15">
        <v>323</v>
      </c>
      <c r="D278" s="13" t="s">
        <v>848</v>
      </c>
      <c r="E278" s="13" t="s">
        <v>763</v>
      </c>
      <c r="F278" s="13" t="s">
        <v>1213</v>
      </c>
      <c r="G278" s="13" t="s">
        <v>1214</v>
      </c>
      <c r="H278" s="13">
        <v>9</v>
      </c>
      <c r="I278" s="16">
        <v>364</v>
      </c>
      <c r="J278" s="16">
        <v>391</v>
      </c>
      <c r="K278" s="16">
        <v>425</v>
      </c>
      <c r="L278" s="16">
        <v>14</v>
      </c>
      <c r="M278" s="16">
        <v>1.5555555555555556</v>
      </c>
      <c r="N278" s="13"/>
      <c r="O278" s="13"/>
      <c r="P278" s="13"/>
      <c r="Q278" s="13"/>
      <c r="R278" s="13" t="s">
        <v>774</v>
      </c>
      <c r="S278" s="18" t="s">
        <v>2188</v>
      </c>
    </row>
    <row r="279" spans="1:19" ht="52.05" customHeight="1">
      <c r="A279" s="14" t="s">
        <v>592</v>
      </c>
      <c r="B279" s="13">
        <v>2026</v>
      </c>
      <c r="C279" s="15">
        <v>324</v>
      </c>
      <c r="D279" s="13" t="s">
        <v>851</v>
      </c>
      <c r="E279" s="13" t="s">
        <v>763</v>
      </c>
      <c r="F279" s="13" t="s">
        <v>1215</v>
      </c>
      <c r="G279" s="13" t="s">
        <v>1216</v>
      </c>
      <c r="H279" s="13">
        <v>14</v>
      </c>
      <c r="I279" s="16">
        <v>355</v>
      </c>
      <c r="J279" s="16">
        <v>407</v>
      </c>
      <c r="K279" s="16">
        <v>420</v>
      </c>
      <c r="L279" s="16">
        <v>22</v>
      </c>
      <c r="M279" s="16">
        <v>1.5714285714285714</v>
      </c>
      <c r="N279" s="13"/>
      <c r="O279" s="13"/>
      <c r="P279" s="13"/>
      <c r="Q279" s="13"/>
      <c r="R279" s="13" t="s">
        <v>774</v>
      </c>
      <c r="S279" s="18" t="s">
        <v>2189</v>
      </c>
    </row>
    <row r="280" spans="1:19" ht="52.05" customHeight="1">
      <c r="A280" s="14" t="s">
        <v>595</v>
      </c>
      <c r="B280" s="13">
        <v>2022</v>
      </c>
      <c r="C280" s="15">
        <v>395</v>
      </c>
      <c r="D280" s="13" t="s">
        <v>1217</v>
      </c>
      <c r="E280" s="13" t="s">
        <v>755</v>
      </c>
      <c r="F280" s="13" t="s">
        <v>756</v>
      </c>
      <c r="G280" s="13" t="s">
        <v>757</v>
      </c>
      <c r="H280" s="13">
        <v>21</v>
      </c>
      <c r="I280" s="16"/>
      <c r="J280" s="16"/>
      <c r="K280" s="16"/>
      <c r="L280" s="16">
        <v>26</v>
      </c>
      <c r="M280" s="16">
        <v>1.2380952380952379</v>
      </c>
      <c r="N280" s="13"/>
      <c r="O280" s="13"/>
      <c r="P280" s="13"/>
      <c r="Q280" s="13"/>
      <c r="R280" s="13" t="s">
        <v>774</v>
      </c>
      <c r="S280" s="18" t="s">
        <v>2190</v>
      </c>
    </row>
    <row r="281" spans="1:19" ht="52.05" customHeight="1">
      <c r="A281" s="14" t="s">
        <v>595</v>
      </c>
      <c r="B281" s="13">
        <v>2023</v>
      </c>
      <c r="C281" s="15">
        <v>367</v>
      </c>
      <c r="D281" s="18" t="s">
        <v>2185</v>
      </c>
      <c r="E281" s="18" t="s">
        <v>2078</v>
      </c>
      <c r="F281" s="13" t="s">
        <v>843</v>
      </c>
      <c r="G281" s="13" t="s">
        <v>761</v>
      </c>
      <c r="H281" s="13">
        <v>28</v>
      </c>
      <c r="I281" s="16">
        <v>369</v>
      </c>
      <c r="J281" s="16"/>
      <c r="K281" s="16"/>
      <c r="L281" s="16">
        <v>37</v>
      </c>
      <c r="M281" s="16">
        <v>1.3214285714285714</v>
      </c>
      <c r="N281" s="13"/>
      <c r="O281" s="13"/>
      <c r="P281" s="13"/>
      <c r="Q281" s="13"/>
      <c r="R281" s="13" t="s">
        <v>774</v>
      </c>
      <c r="S281" s="18" t="s">
        <v>2190</v>
      </c>
    </row>
    <row r="282" spans="1:19" ht="52.05" customHeight="1">
      <c r="A282" s="14" t="s">
        <v>595</v>
      </c>
      <c r="B282" s="13">
        <v>2024</v>
      </c>
      <c r="C282" s="15">
        <v>338</v>
      </c>
      <c r="D282" s="13" t="s">
        <v>908</v>
      </c>
      <c r="E282" s="13" t="s">
        <v>763</v>
      </c>
      <c r="F282" s="13" t="s">
        <v>1218</v>
      </c>
      <c r="G282" s="13" t="s">
        <v>1219</v>
      </c>
      <c r="H282" s="13">
        <v>23</v>
      </c>
      <c r="I282" s="16">
        <v>349</v>
      </c>
      <c r="J282" s="16">
        <v>373</v>
      </c>
      <c r="K282" s="16">
        <v>415</v>
      </c>
      <c r="L282" s="16">
        <v>30</v>
      </c>
      <c r="M282" s="16">
        <v>1.3043478260869563</v>
      </c>
      <c r="N282" s="13"/>
      <c r="O282" s="13"/>
      <c r="P282" s="13"/>
      <c r="Q282" s="13"/>
      <c r="R282" s="13" t="s">
        <v>774</v>
      </c>
      <c r="S282" s="18" t="s">
        <v>2191</v>
      </c>
    </row>
    <row r="283" spans="1:19" ht="52.05" customHeight="1">
      <c r="A283" s="14" t="s">
        <v>595</v>
      </c>
      <c r="B283" s="13">
        <v>2025</v>
      </c>
      <c r="C283" s="15">
        <v>323</v>
      </c>
      <c r="D283" s="13" t="s">
        <v>848</v>
      </c>
      <c r="E283" s="13" t="s">
        <v>763</v>
      </c>
      <c r="F283" s="13" t="s">
        <v>1220</v>
      </c>
      <c r="G283" s="13" t="s">
        <v>1221</v>
      </c>
      <c r="H283" s="13">
        <v>24</v>
      </c>
      <c r="I283" s="16">
        <v>359</v>
      </c>
      <c r="J283" s="16"/>
      <c r="K283" s="16"/>
      <c r="L283" s="16">
        <v>33</v>
      </c>
      <c r="M283" s="16">
        <v>1.375</v>
      </c>
      <c r="N283" s="13"/>
      <c r="O283" s="13"/>
      <c r="P283" s="13"/>
      <c r="Q283" s="13"/>
      <c r="R283" s="13" t="s">
        <v>774</v>
      </c>
      <c r="S283" s="18" t="s">
        <v>2190</v>
      </c>
    </row>
    <row r="284" spans="1:19" ht="52.05" customHeight="1">
      <c r="A284" s="14" t="s">
        <v>595</v>
      </c>
      <c r="B284" s="13">
        <v>2026</v>
      </c>
      <c r="C284" s="15">
        <v>324</v>
      </c>
      <c r="D284" s="13" t="s">
        <v>851</v>
      </c>
      <c r="E284" s="13" t="s">
        <v>763</v>
      </c>
      <c r="F284" s="13" t="s">
        <v>1222</v>
      </c>
      <c r="G284" s="13" t="s">
        <v>1223</v>
      </c>
      <c r="H284" s="13">
        <v>21</v>
      </c>
      <c r="I284" s="16">
        <v>367</v>
      </c>
      <c r="J284" s="16">
        <v>386</v>
      </c>
      <c r="K284" s="16">
        <v>414</v>
      </c>
      <c r="L284" s="16">
        <v>29</v>
      </c>
      <c r="M284" s="16">
        <v>1.3809523809523809</v>
      </c>
      <c r="N284" s="13"/>
      <c r="O284" s="13"/>
      <c r="P284" s="13"/>
      <c r="Q284" s="13"/>
      <c r="R284" s="13" t="s">
        <v>774</v>
      </c>
      <c r="S284" s="18" t="s">
        <v>2192</v>
      </c>
    </row>
    <row r="285" spans="1:19" ht="52.05" customHeight="1">
      <c r="A285" s="14" t="s">
        <v>600</v>
      </c>
      <c r="B285" s="13">
        <v>2022</v>
      </c>
      <c r="C285" s="15">
        <v>371</v>
      </c>
      <c r="D285" s="13" t="s">
        <v>1224</v>
      </c>
      <c r="E285" s="13" t="s">
        <v>755</v>
      </c>
      <c r="F285" s="13" t="s">
        <v>756</v>
      </c>
      <c r="G285" s="13" t="s">
        <v>757</v>
      </c>
      <c r="H285" s="13">
        <v>56</v>
      </c>
      <c r="I285" s="16"/>
      <c r="J285" s="16"/>
      <c r="K285" s="16"/>
      <c r="L285" s="16">
        <v>83</v>
      </c>
      <c r="M285" s="16">
        <v>1.4821428571428572</v>
      </c>
      <c r="N285" s="13"/>
      <c r="O285" s="13"/>
      <c r="P285" s="13"/>
      <c r="Q285" s="13"/>
      <c r="R285" s="13" t="s">
        <v>774</v>
      </c>
      <c r="S285" s="18" t="s">
        <v>2193</v>
      </c>
    </row>
    <row r="286" spans="1:19" ht="52.05" customHeight="1">
      <c r="A286" s="14" t="s">
        <v>600</v>
      </c>
      <c r="B286" s="13">
        <v>2023</v>
      </c>
      <c r="C286" s="15">
        <v>376</v>
      </c>
      <c r="D286" s="18" t="s">
        <v>2194</v>
      </c>
      <c r="E286" s="18" t="s">
        <v>2078</v>
      </c>
      <c r="F286" s="13" t="s">
        <v>843</v>
      </c>
      <c r="G286" s="13" t="s">
        <v>761</v>
      </c>
      <c r="H286" s="13">
        <v>45</v>
      </c>
      <c r="I286" s="16">
        <v>346</v>
      </c>
      <c r="J286" s="16"/>
      <c r="K286" s="16"/>
      <c r="L286" s="16">
        <v>54</v>
      </c>
      <c r="M286" s="16">
        <v>1.2</v>
      </c>
      <c r="N286" s="13"/>
      <c r="O286" s="13"/>
      <c r="P286" s="13"/>
      <c r="Q286" s="13"/>
      <c r="R286" s="13" t="s">
        <v>774</v>
      </c>
      <c r="S286" s="18" t="s">
        <v>2193</v>
      </c>
    </row>
    <row r="287" spans="1:19" ht="52.05" customHeight="1">
      <c r="A287" s="14" t="s">
        <v>600</v>
      </c>
      <c r="B287" s="13">
        <v>2024</v>
      </c>
      <c r="C287" s="15">
        <v>338</v>
      </c>
      <c r="D287" s="13" t="s">
        <v>908</v>
      </c>
      <c r="E287" s="13" t="s">
        <v>763</v>
      </c>
      <c r="F287" s="13" t="s">
        <v>1225</v>
      </c>
      <c r="G287" s="13" t="s">
        <v>1226</v>
      </c>
      <c r="H287" s="13">
        <v>46</v>
      </c>
      <c r="I287" s="16">
        <v>358</v>
      </c>
      <c r="J287" s="16">
        <v>393</v>
      </c>
      <c r="K287" s="16">
        <v>421</v>
      </c>
      <c r="L287" s="16">
        <v>61</v>
      </c>
      <c r="M287" s="16">
        <v>1.326086956521739</v>
      </c>
      <c r="N287" s="13"/>
      <c r="O287" s="13"/>
      <c r="P287" s="13"/>
      <c r="Q287" s="13"/>
      <c r="R287" s="13" t="s">
        <v>774</v>
      </c>
      <c r="S287" s="18" t="s">
        <v>2195</v>
      </c>
    </row>
    <row r="288" spans="1:19" ht="52.05" customHeight="1">
      <c r="A288" s="14" t="s">
        <v>600</v>
      </c>
      <c r="B288" s="13">
        <v>2025</v>
      </c>
      <c r="C288" s="15">
        <v>323</v>
      </c>
      <c r="D288" s="13" t="s">
        <v>848</v>
      </c>
      <c r="E288" s="13" t="s">
        <v>763</v>
      </c>
      <c r="F288" s="13" t="s">
        <v>1227</v>
      </c>
      <c r="G288" s="13" t="s">
        <v>1228</v>
      </c>
      <c r="H288" s="13">
        <v>40</v>
      </c>
      <c r="I288" s="16">
        <v>349</v>
      </c>
      <c r="J288" s="16">
        <v>379</v>
      </c>
      <c r="K288" s="16">
        <v>415</v>
      </c>
      <c r="L288" s="16">
        <v>52</v>
      </c>
      <c r="M288" s="16">
        <v>1.3</v>
      </c>
      <c r="N288" s="13"/>
      <c r="O288" s="13"/>
      <c r="P288" s="13"/>
      <c r="Q288" s="13"/>
      <c r="R288" s="13" t="s">
        <v>774</v>
      </c>
      <c r="S288" s="18" t="s">
        <v>2196</v>
      </c>
    </row>
    <row r="289" spans="1:19" ht="52.05" customHeight="1">
      <c r="A289" s="14" t="s">
        <v>600</v>
      </c>
      <c r="B289" s="13">
        <v>2026</v>
      </c>
      <c r="C289" s="15">
        <v>324</v>
      </c>
      <c r="D289" s="13" t="s">
        <v>851</v>
      </c>
      <c r="E289" s="13" t="s">
        <v>763</v>
      </c>
      <c r="F289" s="13" t="s">
        <v>1229</v>
      </c>
      <c r="G289" s="13" t="s">
        <v>1230</v>
      </c>
      <c r="H289" s="13">
        <v>28</v>
      </c>
      <c r="I289" s="16">
        <v>326</v>
      </c>
      <c r="J289" s="16">
        <v>373.5</v>
      </c>
      <c r="K289" s="16">
        <v>420</v>
      </c>
      <c r="L289" s="16">
        <v>37</v>
      </c>
      <c r="M289" s="16">
        <v>1.3214285714285714</v>
      </c>
      <c r="N289" s="13"/>
      <c r="O289" s="13"/>
      <c r="P289" s="13"/>
      <c r="Q289" s="13"/>
      <c r="R289" s="13" t="s">
        <v>774</v>
      </c>
      <c r="S289" s="18" t="s">
        <v>2197</v>
      </c>
    </row>
    <row r="290" spans="1:19" ht="52.05" customHeight="1">
      <c r="A290" s="14" t="s">
        <v>604</v>
      </c>
      <c r="B290" s="13">
        <v>2022</v>
      </c>
      <c r="C290" s="15">
        <v>360</v>
      </c>
      <c r="D290" s="13" t="s">
        <v>865</v>
      </c>
      <c r="E290" s="13" t="s">
        <v>755</v>
      </c>
      <c r="F290" s="13" t="s">
        <v>756</v>
      </c>
      <c r="G290" s="13" t="s">
        <v>757</v>
      </c>
      <c r="H290" s="13">
        <v>20</v>
      </c>
      <c r="I290" s="16"/>
      <c r="J290" s="16"/>
      <c r="K290" s="16"/>
      <c r="L290" s="16">
        <v>59</v>
      </c>
      <c r="M290" s="16">
        <v>2.95</v>
      </c>
      <c r="N290" s="13"/>
      <c r="O290" s="13"/>
      <c r="P290" s="13"/>
      <c r="Q290" s="13"/>
      <c r="R290" s="13" t="s">
        <v>774</v>
      </c>
      <c r="S290" s="18" t="s">
        <v>2198</v>
      </c>
    </row>
    <row r="291" spans="1:19" ht="52.05" customHeight="1">
      <c r="A291" s="14" t="s">
        <v>604</v>
      </c>
      <c r="B291" s="13">
        <v>2023</v>
      </c>
      <c r="C291" s="15">
        <v>346</v>
      </c>
      <c r="D291" s="18" t="s">
        <v>2133</v>
      </c>
      <c r="E291" s="18" t="s">
        <v>2078</v>
      </c>
      <c r="F291" s="13" t="s">
        <v>843</v>
      </c>
      <c r="G291" s="13" t="s">
        <v>761</v>
      </c>
      <c r="H291" s="13">
        <v>12</v>
      </c>
      <c r="I291" s="16">
        <v>346</v>
      </c>
      <c r="J291" s="16"/>
      <c r="K291" s="16"/>
      <c r="L291" s="16">
        <v>13</v>
      </c>
      <c r="M291" s="16">
        <v>1.0833333333333333</v>
      </c>
      <c r="N291" s="13"/>
      <c r="O291" s="13"/>
      <c r="P291" s="13"/>
      <c r="Q291" s="13"/>
      <c r="R291" s="13" t="s">
        <v>774</v>
      </c>
      <c r="S291" s="18" t="s">
        <v>2198</v>
      </c>
    </row>
    <row r="292" spans="1:19" ht="52.05" customHeight="1">
      <c r="A292" s="14" t="s">
        <v>604</v>
      </c>
      <c r="B292" s="13">
        <v>2024</v>
      </c>
      <c r="C292" s="15">
        <v>338</v>
      </c>
      <c r="D292" s="13" t="s">
        <v>908</v>
      </c>
      <c r="E292" s="13" t="s">
        <v>763</v>
      </c>
      <c r="F292" s="13" t="s">
        <v>1231</v>
      </c>
      <c r="G292" s="13" t="s">
        <v>1232</v>
      </c>
      <c r="H292" s="13">
        <v>19</v>
      </c>
      <c r="I292" s="16">
        <v>361</v>
      </c>
      <c r="J292" s="16"/>
      <c r="K292" s="16"/>
      <c r="L292" s="16">
        <v>44</v>
      </c>
      <c r="M292" s="16">
        <v>2.3157894736842106</v>
      </c>
      <c r="N292" s="13"/>
      <c r="O292" s="13"/>
      <c r="P292" s="13"/>
      <c r="Q292" s="13"/>
      <c r="R292" s="13" t="s">
        <v>774</v>
      </c>
      <c r="S292" s="18" t="s">
        <v>2198</v>
      </c>
    </row>
    <row r="293" spans="1:19" ht="52.05" customHeight="1">
      <c r="A293" s="14" t="s">
        <v>604</v>
      </c>
      <c r="B293" s="13">
        <v>2025</v>
      </c>
      <c r="C293" s="15">
        <v>323</v>
      </c>
      <c r="D293" s="13" t="s">
        <v>848</v>
      </c>
      <c r="E293" s="13" t="s">
        <v>763</v>
      </c>
      <c r="F293" s="13" t="s">
        <v>1233</v>
      </c>
      <c r="G293" s="13" t="s">
        <v>1234</v>
      </c>
      <c r="H293" s="13">
        <v>15</v>
      </c>
      <c r="I293" s="16">
        <v>361</v>
      </c>
      <c r="J293" s="16">
        <v>380</v>
      </c>
      <c r="K293" s="16">
        <v>409</v>
      </c>
      <c r="L293" s="16">
        <v>35</v>
      </c>
      <c r="M293" s="16">
        <v>2.3333333333333335</v>
      </c>
      <c r="N293" s="13"/>
      <c r="O293" s="13"/>
      <c r="P293" s="13"/>
      <c r="Q293" s="13"/>
      <c r="R293" s="13" t="s">
        <v>774</v>
      </c>
      <c r="S293" s="18" t="s">
        <v>2199</v>
      </c>
    </row>
    <row r="294" spans="1:19" ht="52.05" customHeight="1">
      <c r="A294" s="14" t="s">
        <v>604</v>
      </c>
      <c r="B294" s="13">
        <v>2026</v>
      </c>
      <c r="C294" s="15">
        <v>324</v>
      </c>
      <c r="D294" s="13" t="s">
        <v>851</v>
      </c>
      <c r="E294" s="13" t="s">
        <v>763</v>
      </c>
      <c r="F294" s="13" t="s">
        <v>1235</v>
      </c>
      <c r="G294" s="13" t="s">
        <v>1236</v>
      </c>
      <c r="H294" s="13">
        <v>12</v>
      </c>
      <c r="I294" s="16">
        <v>380</v>
      </c>
      <c r="J294" s="16">
        <v>400</v>
      </c>
      <c r="K294" s="16">
        <v>430</v>
      </c>
      <c r="L294" s="16">
        <v>38</v>
      </c>
      <c r="M294" s="16">
        <v>3.1666666666666665</v>
      </c>
      <c r="N294" s="13"/>
      <c r="O294" s="13"/>
      <c r="P294" s="13"/>
      <c r="Q294" s="13"/>
      <c r="R294" s="13" t="s">
        <v>774</v>
      </c>
      <c r="S294" s="18" t="s">
        <v>2200</v>
      </c>
    </row>
    <row r="295" spans="1:19" ht="52.05" customHeight="1">
      <c r="A295" s="14" t="s">
        <v>611</v>
      </c>
      <c r="B295" s="13">
        <v>2022</v>
      </c>
      <c r="C295" s="15">
        <v>360</v>
      </c>
      <c r="D295" s="13" t="s">
        <v>865</v>
      </c>
      <c r="E295" s="13" t="s">
        <v>755</v>
      </c>
      <c r="F295" s="13" t="s">
        <v>756</v>
      </c>
      <c r="G295" s="13" t="s">
        <v>757</v>
      </c>
      <c r="H295" s="13">
        <v>20</v>
      </c>
      <c r="I295" s="16"/>
      <c r="J295" s="16"/>
      <c r="K295" s="16"/>
      <c r="L295" s="16"/>
      <c r="M295" s="16"/>
      <c r="N295" s="13"/>
      <c r="O295" s="13"/>
      <c r="P295" s="13"/>
      <c r="Q295" s="13"/>
      <c r="R295" s="13" t="s">
        <v>774</v>
      </c>
      <c r="S295" s="18" t="s">
        <v>2201</v>
      </c>
    </row>
    <row r="296" spans="1:19" ht="52.05" customHeight="1">
      <c r="A296" s="14" t="s">
        <v>611</v>
      </c>
      <c r="B296" s="13">
        <v>2023</v>
      </c>
      <c r="C296" s="15">
        <v>383</v>
      </c>
      <c r="D296" s="18" t="s">
        <v>2202</v>
      </c>
      <c r="E296" s="18" t="s">
        <v>2078</v>
      </c>
      <c r="F296" s="13" t="s">
        <v>843</v>
      </c>
      <c r="G296" s="13" t="s">
        <v>761</v>
      </c>
      <c r="H296" s="13">
        <v>21</v>
      </c>
      <c r="I296" s="16">
        <v>385</v>
      </c>
      <c r="J296" s="16"/>
      <c r="K296" s="16"/>
      <c r="L296" s="16">
        <v>27</v>
      </c>
      <c r="M296" s="16">
        <v>1.2857142857142858</v>
      </c>
      <c r="N296" s="13"/>
      <c r="O296" s="13"/>
      <c r="P296" s="13"/>
      <c r="Q296" s="13"/>
      <c r="R296" s="13" t="s">
        <v>774</v>
      </c>
      <c r="S296" s="18" t="s">
        <v>2201</v>
      </c>
    </row>
    <row r="297" spans="1:19" ht="52.05" customHeight="1">
      <c r="A297" s="14" t="s">
        <v>611</v>
      </c>
      <c r="B297" s="13">
        <v>2024</v>
      </c>
      <c r="C297" s="15">
        <v>338</v>
      </c>
      <c r="D297" s="13" t="s">
        <v>908</v>
      </c>
      <c r="E297" s="13" t="s">
        <v>763</v>
      </c>
      <c r="F297" s="13" t="s">
        <v>1237</v>
      </c>
      <c r="G297" s="13" t="s">
        <v>1238</v>
      </c>
      <c r="H297" s="13">
        <v>21</v>
      </c>
      <c r="I297" s="16">
        <v>390</v>
      </c>
      <c r="J297" s="16">
        <v>404</v>
      </c>
      <c r="K297" s="16">
        <v>435</v>
      </c>
      <c r="L297" s="16">
        <v>28</v>
      </c>
      <c r="M297" s="16">
        <v>1.3333333333333333</v>
      </c>
      <c r="N297" s="13"/>
      <c r="O297" s="13"/>
      <c r="P297" s="13"/>
      <c r="Q297" s="13"/>
      <c r="R297" s="13" t="s">
        <v>774</v>
      </c>
      <c r="S297" s="18" t="s">
        <v>2203</v>
      </c>
    </row>
    <row r="298" spans="1:19" ht="52.05" customHeight="1">
      <c r="A298" s="14" t="s">
        <v>611</v>
      </c>
      <c r="B298" s="13">
        <v>2025</v>
      </c>
      <c r="C298" s="15">
        <v>323</v>
      </c>
      <c r="D298" s="13" t="s">
        <v>848</v>
      </c>
      <c r="E298" s="13" t="s">
        <v>763</v>
      </c>
      <c r="F298" s="13" t="s">
        <v>1239</v>
      </c>
      <c r="G298" s="13" t="s">
        <v>1240</v>
      </c>
      <c r="H298" s="13">
        <v>26</v>
      </c>
      <c r="I298" s="16">
        <v>348</v>
      </c>
      <c r="J298" s="16"/>
      <c r="K298" s="16"/>
      <c r="L298" s="16">
        <v>30</v>
      </c>
      <c r="M298" s="16">
        <v>1.1538461538461535</v>
      </c>
      <c r="N298" s="13"/>
      <c r="O298" s="13"/>
      <c r="P298" s="13"/>
      <c r="Q298" s="13"/>
      <c r="R298" s="13" t="s">
        <v>774</v>
      </c>
      <c r="S298" s="18" t="s">
        <v>2201</v>
      </c>
    </row>
    <row r="299" spans="1:19" ht="52.05" customHeight="1">
      <c r="A299" s="14" t="s">
        <v>611</v>
      </c>
      <c r="B299" s="13">
        <v>2026</v>
      </c>
      <c r="C299" s="15">
        <v>324</v>
      </c>
      <c r="D299" s="13" t="s">
        <v>851</v>
      </c>
      <c r="E299" s="13" t="s">
        <v>763</v>
      </c>
      <c r="F299" s="13" t="s">
        <v>1241</v>
      </c>
      <c r="G299" s="13" t="s">
        <v>1242</v>
      </c>
      <c r="H299" s="13">
        <v>23</v>
      </c>
      <c r="I299" s="16">
        <v>390</v>
      </c>
      <c r="J299" s="16">
        <v>410</v>
      </c>
      <c r="K299" s="16">
        <v>444</v>
      </c>
      <c r="L299" s="16">
        <v>31</v>
      </c>
      <c r="M299" s="16">
        <v>1.3478260869565215</v>
      </c>
      <c r="N299" s="13"/>
      <c r="O299" s="13"/>
      <c r="P299" s="13"/>
      <c r="Q299" s="13"/>
      <c r="R299" s="13" t="s">
        <v>774</v>
      </c>
      <c r="S299" s="18" t="s">
        <v>2204</v>
      </c>
    </row>
    <row r="300" spans="1:19" ht="52.05" customHeight="1">
      <c r="A300" s="14" t="s">
        <v>616</v>
      </c>
      <c r="B300" s="13">
        <v>2022</v>
      </c>
      <c r="C300" s="15">
        <v>382</v>
      </c>
      <c r="D300" s="13" t="s">
        <v>1243</v>
      </c>
      <c r="E300" s="13" t="s">
        <v>755</v>
      </c>
      <c r="F300" s="13" t="s">
        <v>756</v>
      </c>
      <c r="G300" s="13" t="s">
        <v>757</v>
      </c>
      <c r="H300" s="13">
        <v>33</v>
      </c>
      <c r="I300" s="16"/>
      <c r="J300" s="16"/>
      <c r="K300" s="16"/>
      <c r="L300" s="16">
        <v>45</v>
      </c>
      <c r="M300" s="16">
        <v>1.3636363636363635</v>
      </c>
      <c r="N300" s="13"/>
      <c r="O300" s="13"/>
      <c r="P300" s="13"/>
      <c r="Q300" s="13"/>
      <c r="R300" s="13" t="s">
        <v>774</v>
      </c>
      <c r="S300" s="18" t="s">
        <v>2205</v>
      </c>
    </row>
    <row r="301" spans="1:19" ht="52.05" customHeight="1">
      <c r="A301" s="14" t="s">
        <v>616</v>
      </c>
      <c r="B301" s="13">
        <v>2023</v>
      </c>
      <c r="C301" s="15">
        <v>370</v>
      </c>
      <c r="D301" s="18" t="s">
        <v>2089</v>
      </c>
      <c r="E301" s="18" t="s">
        <v>2078</v>
      </c>
      <c r="F301" s="13" t="s">
        <v>843</v>
      </c>
      <c r="G301" s="13" t="s">
        <v>761</v>
      </c>
      <c r="H301" s="13">
        <v>25</v>
      </c>
      <c r="I301" s="16"/>
      <c r="J301" s="16"/>
      <c r="K301" s="16"/>
      <c r="L301" s="16">
        <v>31</v>
      </c>
      <c r="M301" s="16">
        <v>1.24</v>
      </c>
      <c r="N301" s="13"/>
      <c r="O301" s="13"/>
      <c r="P301" s="13"/>
      <c r="Q301" s="13"/>
      <c r="R301" s="13" t="s">
        <v>774</v>
      </c>
      <c r="S301" s="18" t="s">
        <v>2205</v>
      </c>
    </row>
    <row r="302" spans="1:19" ht="52.05" customHeight="1">
      <c r="A302" s="14" t="s">
        <v>616</v>
      </c>
      <c r="B302" s="13">
        <v>2024</v>
      </c>
      <c r="C302" s="15">
        <v>338</v>
      </c>
      <c r="D302" s="13" t="s">
        <v>908</v>
      </c>
      <c r="E302" s="13" t="s">
        <v>763</v>
      </c>
      <c r="F302" s="13" t="s">
        <v>1244</v>
      </c>
      <c r="G302" s="13" t="s">
        <v>1245</v>
      </c>
      <c r="H302" s="13">
        <v>23</v>
      </c>
      <c r="I302" s="16">
        <v>391</v>
      </c>
      <c r="J302" s="16">
        <v>406</v>
      </c>
      <c r="K302" s="16">
        <v>432</v>
      </c>
      <c r="L302" s="16">
        <v>31</v>
      </c>
      <c r="M302" s="16">
        <v>1.3478260869565215</v>
      </c>
      <c r="N302" s="13"/>
      <c r="O302" s="13"/>
      <c r="P302" s="13"/>
      <c r="Q302" s="13"/>
      <c r="R302" s="13" t="s">
        <v>774</v>
      </c>
      <c r="S302" s="18" t="s">
        <v>2206</v>
      </c>
    </row>
    <row r="303" spans="1:19" ht="52.05" customHeight="1">
      <c r="A303" s="14" t="s">
        <v>616</v>
      </c>
      <c r="B303" s="13">
        <v>2025</v>
      </c>
      <c r="C303" s="15">
        <v>323</v>
      </c>
      <c r="D303" s="13" t="s">
        <v>848</v>
      </c>
      <c r="E303" s="13" t="s">
        <v>763</v>
      </c>
      <c r="F303" s="13" t="s">
        <v>1246</v>
      </c>
      <c r="G303" s="13" t="s">
        <v>1247</v>
      </c>
      <c r="H303" s="13">
        <v>34</v>
      </c>
      <c r="I303" s="16">
        <v>351</v>
      </c>
      <c r="J303" s="16"/>
      <c r="K303" s="16"/>
      <c r="L303" s="16">
        <v>41</v>
      </c>
      <c r="M303" s="16">
        <v>1.2058823529411764</v>
      </c>
      <c r="N303" s="13"/>
      <c r="O303" s="13"/>
      <c r="P303" s="13"/>
      <c r="Q303" s="13"/>
      <c r="R303" s="13" t="s">
        <v>774</v>
      </c>
      <c r="S303" s="18" t="s">
        <v>2205</v>
      </c>
    </row>
    <row r="304" spans="1:19" ht="52.05" customHeight="1">
      <c r="A304" s="14" t="s">
        <v>616</v>
      </c>
      <c r="B304" s="13">
        <v>2026</v>
      </c>
      <c r="C304" s="15">
        <v>324</v>
      </c>
      <c r="D304" s="13" t="s">
        <v>851</v>
      </c>
      <c r="E304" s="13" t="s">
        <v>763</v>
      </c>
      <c r="F304" s="13" t="s">
        <v>1248</v>
      </c>
      <c r="G304" s="13" t="s">
        <v>1249</v>
      </c>
      <c r="H304" s="13">
        <v>23</v>
      </c>
      <c r="I304" s="16">
        <v>400</v>
      </c>
      <c r="J304" s="16">
        <v>422</v>
      </c>
      <c r="K304" s="16">
        <v>446</v>
      </c>
      <c r="L304" s="16">
        <v>28</v>
      </c>
      <c r="M304" s="16">
        <v>1.2173913043478262</v>
      </c>
      <c r="N304" s="13"/>
      <c r="O304" s="13"/>
      <c r="P304" s="13"/>
      <c r="Q304" s="13"/>
      <c r="R304" s="13" t="s">
        <v>774</v>
      </c>
      <c r="S304" s="18" t="s">
        <v>2207</v>
      </c>
    </row>
    <row r="305" spans="1:19" ht="52.05" customHeight="1">
      <c r="A305" s="14" t="s">
        <v>622</v>
      </c>
      <c r="B305" s="13">
        <v>2022</v>
      </c>
      <c r="C305" s="15">
        <v>350</v>
      </c>
      <c r="D305" s="13" t="s">
        <v>1250</v>
      </c>
      <c r="E305" s="13" t="s">
        <v>755</v>
      </c>
      <c r="F305" s="13" t="s">
        <v>756</v>
      </c>
      <c r="G305" s="13" t="s">
        <v>757</v>
      </c>
      <c r="H305" s="13">
        <v>95</v>
      </c>
      <c r="I305" s="16"/>
      <c r="J305" s="16"/>
      <c r="K305" s="16"/>
      <c r="L305" s="16">
        <v>113</v>
      </c>
      <c r="M305" s="16">
        <v>1.1894736842105262</v>
      </c>
      <c r="N305" s="13"/>
      <c r="O305" s="13"/>
      <c r="P305" s="13"/>
      <c r="Q305" s="13"/>
      <c r="R305" s="13" t="s">
        <v>774</v>
      </c>
      <c r="S305" s="18" t="s">
        <v>2260</v>
      </c>
    </row>
    <row r="306" spans="1:19" ht="52.05" customHeight="1">
      <c r="A306" s="14" t="s">
        <v>622</v>
      </c>
      <c r="B306" s="13">
        <v>2023</v>
      </c>
      <c r="C306" s="15">
        <v>336</v>
      </c>
      <c r="D306" s="18" t="s">
        <v>2261</v>
      </c>
      <c r="E306" s="18" t="s">
        <v>2078</v>
      </c>
      <c r="F306" s="13" t="s">
        <v>843</v>
      </c>
      <c r="G306" s="13" t="s">
        <v>761</v>
      </c>
      <c r="H306" s="13">
        <v>100</v>
      </c>
      <c r="I306" s="16">
        <v>341</v>
      </c>
      <c r="J306" s="16"/>
      <c r="K306" s="16"/>
      <c r="L306" s="16">
        <v>131</v>
      </c>
      <c r="M306" s="16">
        <v>1.31</v>
      </c>
      <c r="N306" s="13"/>
      <c r="O306" s="13"/>
      <c r="P306" s="13"/>
      <c r="Q306" s="13"/>
      <c r="R306" s="13" t="s">
        <v>774</v>
      </c>
      <c r="S306" s="18" t="s">
        <v>2260</v>
      </c>
    </row>
    <row r="307" spans="1:19" ht="52.05" customHeight="1">
      <c r="A307" s="14" t="s">
        <v>622</v>
      </c>
      <c r="B307" s="13">
        <v>2024</v>
      </c>
      <c r="C307" s="15">
        <v>328</v>
      </c>
      <c r="D307" s="13" t="s">
        <v>1252</v>
      </c>
      <c r="E307" s="13" t="s">
        <v>763</v>
      </c>
      <c r="F307" s="13" t="s">
        <v>1253</v>
      </c>
      <c r="G307" s="13" t="s">
        <v>1254</v>
      </c>
      <c r="H307" s="13">
        <v>115</v>
      </c>
      <c r="I307" s="16">
        <v>331</v>
      </c>
      <c r="J307" s="16"/>
      <c r="K307" s="16"/>
      <c r="L307" s="16">
        <v>172</v>
      </c>
      <c r="M307" s="16">
        <v>1.4956521739130435</v>
      </c>
      <c r="N307" s="13"/>
      <c r="O307" s="13"/>
      <c r="P307" s="13"/>
      <c r="Q307" s="13"/>
      <c r="R307" s="13" t="s">
        <v>774</v>
      </c>
      <c r="S307" s="18" t="s">
        <v>2260</v>
      </c>
    </row>
    <row r="308" spans="1:19" ht="52.05" customHeight="1">
      <c r="A308" s="14" t="s">
        <v>622</v>
      </c>
      <c r="B308" s="13">
        <v>2025</v>
      </c>
      <c r="C308" s="15">
        <v>313</v>
      </c>
      <c r="D308" s="13" t="s">
        <v>1255</v>
      </c>
      <c r="E308" s="13" t="s">
        <v>763</v>
      </c>
      <c r="F308" s="13" t="s">
        <v>1256</v>
      </c>
      <c r="G308" s="13" t="s">
        <v>1257</v>
      </c>
      <c r="H308" s="13">
        <v>122</v>
      </c>
      <c r="I308" s="16">
        <v>318</v>
      </c>
      <c r="J308" s="16"/>
      <c r="K308" s="16"/>
      <c r="L308" s="16">
        <v>162</v>
      </c>
      <c r="M308" s="16">
        <v>1.3278688524590163</v>
      </c>
      <c r="N308" s="13"/>
      <c r="O308" s="13"/>
      <c r="P308" s="13"/>
      <c r="Q308" s="13"/>
      <c r="R308" s="13" t="s">
        <v>774</v>
      </c>
      <c r="S308" s="18" t="s">
        <v>2260</v>
      </c>
    </row>
    <row r="309" spans="1:19" ht="52.05" customHeight="1">
      <c r="A309" s="14" t="s">
        <v>622</v>
      </c>
      <c r="B309" s="13">
        <v>2026</v>
      </c>
      <c r="C309" s="15">
        <v>314</v>
      </c>
      <c r="D309" s="13" t="s">
        <v>1258</v>
      </c>
      <c r="E309" s="13" t="s">
        <v>763</v>
      </c>
      <c r="F309" s="13" t="s">
        <v>1259</v>
      </c>
      <c r="G309" s="13" t="s">
        <v>1260</v>
      </c>
      <c r="H309" s="13">
        <v>145</v>
      </c>
      <c r="I309" s="16">
        <v>339</v>
      </c>
      <c r="J309" s="16">
        <v>364</v>
      </c>
      <c r="K309" s="16">
        <v>419</v>
      </c>
      <c r="L309" s="16">
        <v>165</v>
      </c>
      <c r="M309" s="16">
        <v>1.1379310344827589</v>
      </c>
      <c r="N309" s="13"/>
      <c r="O309" s="13"/>
      <c r="P309" s="13"/>
      <c r="Q309" s="13"/>
      <c r="R309" s="13" t="s">
        <v>774</v>
      </c>
      <c r="S309" s="18" t="s">
        <v>2262</v>
      </c>
    </row>
    <row r="310" spans="1:19" ht="52.05" customHeight="1">
      <c r="A310" s="14" t="s">
        <v>628</v>
      </c>
      <c r="B310" s="13">
        <v>2022</v>
      </c>
      <c r="C310" s="15"/>
      <c r="D310" s="13" t="s">
        <v>952</v>
      </c>
      <c r="E310" s="13" t="s">
        <v>755</v>
      </c>
      <c r="F310" s="13" t="s">
        <v>952</v>
      </c>
      <c r="G310" s="13" t="s">
        <v>757</v>
      </c>
      <c r="H310" s="13"/>
      <c r="I310" s="16"/>
      <c r="J310" s="16"/>
      <c r="K310" s="16"/>
      <c r="L310" s="16"/>
      <c r="M310" s="16"/>
      <c r="N310" s="13"/>
      <c r="O310" s="13"/>
      <c r="P310" s="13"/>
      <c r="Q310" s="13"/>
      <c r="R310" s="13" t="s">
        <v>774</v>
      </c>
      <c r="S310" s="18" t="s">
        <v>2208</v>
      </c>
    </row>
    <row r="311" spans="1:19" ht="52.05" customHeight="1">
      <c r="A311" s="14" t="s">
        <v>628</v>
      </c>
      <c r="B311" s="13">
        <v>2023</v>
      </c>
      <c r="C311" s="15">
        <v>350</v>
      </c>
      <c r="D311" s="18" t="s">
        <v>2099</v>
      </c>
      <c r="E311" s="18" t="s">
        <v>2078</v>
      </c>
      <c r="F311" s="13" t="s">
        <v>843</v>
      </c>
      <c r="G311" s="13" t="s">
        <v>761</v>
      </c>
      <c r="H311" s="13">
        <v>7</v>
      </c>
      <c r="I311" s="16">
        <v>350</v>
      </c>
      <c r="J311" s="16">
        <v>388</v>
      </c>
      <c r="K311" s="16">
        <v>426</v>
      </c>
      <c r="L311" s="16">
        <v>7</v>
      </c>
      <c r="M311" s="16">
        <v>1</v>
      </c>
      <c r="N311" s="13"/>
      <c r="O311" s="13"/>
      <c r="P311" s="13"/>
      <c r="Q311" s="13"/>
      <c r="R311" s="13" t="s">
        <v>774</v>
      </c>
      <c r="S311" s="18" t="s">
        <v>2209</v>
      </c>
    </row>
    <row r="312" spans="1:19" ht="52.05" customHeight="1">
      <c r="A312" s="14" t="s">
        <v>628</v>
      </c>
      <c r="B312" s="13">
        <v>2024</v>
      </c>
      <c r="C312" s="15">
        <v>338</v>
      </c>
      <c r="D312" s="13" t="s">
        <v>908</v>
      </c>
      <c r="E312" s="13" t="s">
        <v>763</v>
      </c>
      <c r="F312" s="13" t="s">
        <v>1261</v>
      </c>
      <c r="G312" s="13" t="s">
        <v>1262</v>
      </c>
      <c r="H312" s="13">
        <v>10</v>
      </c>
      <c r="I312" s="16">
        <v>359</v>
      </c>
      <c r="J312" s="16">
        <v>384.5</v>
      </c>
      <c r="K312" s="16">
        <v>411</v>
      </c>
      <c r="L312" s="16"/>
      <c r="M312" s="16"/>
      <c r="N312" s="13"/>
      <c r="O312" s="13"/>
      <c r="P312" s="13"/>
      <c r="Q312" s="13"/>
      <c r="R312" s="13" t="s">
        <v>774</v>
      </c>
      <c r="S312" s="18" t="s">
        <v>2210</v>
      </c>
    </row>
    <row r="313" spans="1:19" ht="52.05" customHeight="1">
      <c r="A313" s="14" t="s">
        <v>628</v>
      </c>
      <c r="B313" s="13">
        <v>2025</v>
      </c>
      <c r="C313" s="15">
        <v>323</v>
      </c>
      <c r="D313" s="13" t="s">
        <v>1263</v>
      </c>
      <c r="E313" s="13" t="s">
        <v>35</v>
      </c>
      <c r="F313" s="13" t="s">
        <v>1150</v>
      </c>
      <c r="G313" s="13" t="s">
        <v>1264</v>
      </c>
      <c r="H313" s="13">
        <v>32</v>
      </c>
      <c r="I313" s="16">
        <v>323</v>
      </c>
      <c r="J313" s="16"/>
      <c r="K313" s="16"/>
      <c r="L313" s="16">
        <v>36</v>
      </c>
      <c r="M313" s="16">
        <v>1.125</v>
      </c>
      <c r="N313" s="13"/>
      <c r="O313" s="13"/>
      <c r="P313" s="13"/>
      <c r="Q313" s="13"/>
      <c r="R313" s="13" t="s">
        <v>774</v>
      </c>
      <c r="S313" s="18" t="s">
        <v>2208</v>
      </c>
    </row>
    <row r="314" spans="1:19" ht="52.05" customHeight="1">
      <c r="A314" s="14" t="s">
        <v>628</v>
      </c>
      <c r="B314" s="13">
        <v>2026</v>
      </c>
      <c r="C314" s="15">
        <v>324</v>
      </c>
      <c r="D314" s="13" t="s">
        <v>851</v>
      </c>
      <c r="E314" s="13" t="s">
        <v>763</v>
      </c>
      <c r="F314" s="13" t="s">
        <v>1265</v>
      </c>
      <c r="G314" s="13" t="s">
        <v>1266</v>
      </c>
      <c r="H314" s="13">
        <v>30</v>
      </c>
      <c r="I314" s="16">
        <v>340</v>
      </c>
      <c r="J314" s="16">
        <v>364.5</v>
      </c>
      <c r="K314" s="16">
        <v>414</v>
      </c>
      <c r="L314" s="16">
        <v>38</v>
      </c>
      <c r="M314" s="16">
        <v>1.2666666666666666</v>
      </c>
      <c r="N314" s="13"/>
      <c r="O314" s="13"/>
      <c r="P314" s="13"/>
      <c r="Q314" s="13"/>
      <c r="R314" s="13" t="s">
        <v>774</v>
      </c>
      <c r="S314" s="18" t="s">
        <v>2211</v>
      </c>
    </row>
    <row r="315" spans="1:19" ht="52.05" customHeight="1">
      <c r="A315" s="14" t="s">
        <v>632</v>
      </c>
      <c r="B315" s="13">
        <v>2022</v>
      </c>
      <c r="C315" s="15">
        <v>368</v>
      </c>
      <c r="D315" s="13" t="s">
        <v>1267</v>
      </c>
      <c r="E315" s="13" t="s">
        <v>755</v>
      </c>
      <c r="F315" s="13" t="s">
        <v>756</v>
      </c>
      <c r="G315" s="13" t="s">
        <v>757</v>
      </c>
      <c r="H315" s="13">
        <v>55</v>
      </c>
      <c r="I315" s="16"/>
      <c r="J315" s="16"/>
      <c r="K315" s="16"/>
      <c r="L315" s="16">
        <v>70</v>
      </c>
      <c r="M315" s="16">
        <v>1.2727272727272727</v>
      </c>
      <c r="N315" s="13"/>
      <c r="O315" s="13"/>
      <c r="P315" s="13"/>
      <c r="Q315" s="13"/>
      <c r="R315" s="13" t="s">
        <v>774</v>
      </c>
      <c r="S315" s="18" t="s">
        <v>2212</v>
      </c>
    </row>
    <row r="316" spans="1:19" ht="52.05" customHeight="1">
      <c r="A316" s="14" t="s">
        <v>632</v>
      </c>
      <c r="B316" s="13">
        <v>2023</v>
      </c>
      <c r="C316" s="15">
        <v>385</v>
      </c>
      <c r="D316" s="18" t="s">
        <v>2213</v>
      </c>
      <c r="E316" s="18" t="s">
        <v>2078</v>
      </c>
      <c r="F316" s="13" t="s">
        <v>843</v>
      </c>
      <c r="G316" s="13" t="s">
        <v>761</v>
      </c>
      <c r="H316" s="13">
        <v>69</v>
      </c>
      <c r="I316" s="16">
        <v>386</v>
      </c>
      <c r="J316" s="16"/>
      <c r="K316" s="16"/>
      <c r="L316" s="16">
        <v>81</v>
      </c>
      <c r="M316" s="16">
        <v>1.173913043478261</v>
      </c>
      <c r="N316" s="13"/>
      <c r="O316" s="13"/>
      <c r="P316" s="13"/>
      <c r="Q316" s="13"/>
      <c r="R316" s="13" t="s">
        <v>774</v>
      </c>
      <c r="S316" s="18" t="s">
        <v>2212</v>
      </c>
    </row>
    <row r="317" spans="1:19" ht="52.05" customHeight="1">
      <c r="A317" s="14" t="s">
        <v>632</v>
      </c>
      <c r="B317" s="13">
        <v>2024</v>
      </c>
      <c r="C317" s="15">
        <v>338</v>
      </c>
      <c r="D317" s="13" t="s">
        <v>908</v>
      </c>
      <c r="E317" s="13" t="s">
        <v>763</v>
      </c>
      <c r="F317" s="13" t="s">
        <v>1268</v>
      </c>
      <c r="G317" s="13" t="s">
        <v>1269</v>
      </c>
      <c r="H317" s="13">
        <v>58</v>
      </c>
      <c r="I317" s="16">
        <v>372</v>
      </c>
      <c r="J317" s="16">
        <v>392.5</v>
      </c>
      <c r="K317" s="16">
        <v>434</v>
      </c>
      <c r="L317" s="16">
        <v>68</v>
      </c>
      <c r="M317" s="16">
        <v>1.1724137931034482</v>
      </c>
      <c r="N317" s="13"/>
      <c r="O317" s="13"/>
      <c r="P317" s="13"/>
      <c r="Q317" s="13"/>
      <c r="R317" s="13" t="s">
        <v>774</v>
      </c>
      <c r="S317" s="18" t="s">
        <v>2214</v>
      </c>
    </row>
    <row r="318" spans="1:19" ht="52.05" customHeight="1">
      <c r="A318" s="14" t="s">
        <v>632</v>
      </c>
      <c r="B318" s="13">
        <v>2025</v>
      </c>
      <c r="C318" s="15">
        <v>323</v>
      </c>
      <c r="D318" s="13" t="s">
        <v>848</v>
      </c>
      <c r="E318" s="13" t="s">
        <v>763</v>
      </c>
      <c r="F318" s="13" t="s">
        <v>1270</v>
      </c>
      <c r="G318" s="13" t="s">
        <v>1271</v>
      </c>
      <c r="H318" s="13">
        <v>82</v>
      </c>
      <c r="I318" s="16">
        <v>370</v>
      </c>
      <c r="J318" s="16"/>
      <c r="K318" s="16"/>
      <c r="L318" s="16">
        <v>99</v>
      </c>
      <c r="M318" s="16">
        <v>1.2073170731707317</v>
      </c>
      <c r="N318" s="13"/>
      <c r="O318" s="13"/>
      <c r="P318" s="13"/>
      <c r="Q318" s="13"/>
      <c r="R318" s="13" t="s">
        <v>774</v>
      </c>
      <c r="S318" s="18" t="s">
        <v>2212</v>
      </c>
    </row>
    <row r="319" spans="1:19" ht="52.05" customHeight="1">
      <c r="A319" s="14" t="s">
        <v>632</v>
      </c>
      <c r="B319" s="13">
        <v>2026</v>
      </c>
      <c r="C319" s="15">
        <v>324</v>
      </c>
      <c r="D319" s="13" t="s">
        <v>851</v>
      </c>
      <c r="E319" s="13" t="s">
        <v>763</v>
      </c>
      <c r="F319" s="13" t="s">
        <v>1272</v>
      </c>
      <c r="G319" s="13" t="s">
        <v>1273</v>
      </c>
      <c r="H319" s="13">
        <v>71</v>
      </c>
      <c r="I319" s="16">
        <v>382</v>
      </c>
      <c r="J319" s="16">
        <v>400</v>
      </c>
      <c r="K319" s="16">
        <v>438</v>
      </c>
      <c r="L319" s="16">
        <v>86</v>
      </c>
      <c r="M319" s="16">
        <v>1.2112676056338028</v>
      </c>
      <c r="N319" s="13"/>
      <c r="O319" s="13"/>
      <c r="P319" s="13"/>
      <c r="Q319" s="13"/>
      <c r="R319" s="13" t="s">
        <v>774</v>
      </c>
      <c r="S319" s="18" t="s">
        <v>2215</v>
      </c>
    </row>
    <row r="320" spans="1:19" ht="52.05" customHeight="1">
      <c r="A320" s="14" t="s">
        <v>636</v>
      </c>
      <c r="B320" s="13">
        <v>2022</v>
      </c>
      <c r="C320" s="15">
        <v>360</v>
      </c>
      <c r="D320" s="13" t="s">
        <v>865</v>
      </c>
      <c r="E320" s="13" t="s">
        <v>755</v>
      </c>
      <c r="F320" s="13" t="s">
        <v>756</v>
      </c>
      <c r="G320" s="13" t="s">
        <v>757</v>
      </c>
      <c r="H320" s="13">
        <v>44</v>
      </c>
      <c r="I320" s="16"/>
      <c r="J320" s="16"/>
      <c r="K320" s="16"/>
      <c r="L320" s="16">
        <v>58</v>
      </c>
      <c r="M320" s="16">
        <v>1.3181818181818179</v>
      </c>
      <c r="N320" s="13"/>
      <c r="O320" s="13"/>
      <c r="P320" s="13"/>
      <c r="Q320" s="13"/>
      <c r="R320" s="13" t="s">
        <v>774</v>
      </c>
      <c r="S320" s="18" t="s">
        <v>2216</v>
      </c>
    </row>
    <row r="321" spans="1:19" ht="52.05" customHeight="1">
      <c r="A321" s="14" t="s">
        <v>636</v>
      </c>
      <c r="B321" s="13">
        <v>2023</v>
      </c>
      <c r="C321" s="15">
        <v>360</v>
      </c>
      <c r="D321" s="18" t="s">
        <v>2141</v>
      </c>
      <c r="E321" s="18" t="s">
        <v>2078</v>
      </c>
      <c r="F321" s="13" t="s">
        <v>843</v>
      </c>
      <c r="G321" s="13" t="s">
        <v>761</v>
      </c>
      <c r="H321" s="13">
        <v>69</v>
      </c>
      <c r="I321" s="16">
        <v>348</v>
      </c>
      <c r="J321" s="16"/>
      <c r="K321" s="16"/>
      <c r="L321" s="16">
        <v>82</v>
      </c>
      <c r="M321" s="16">
        <v>1.1884057971014492</v>
      </c>
      <c r="N321" s="13"/>
      <c r="O321" s="13"/>
      <c r="P321" s="13"/>
      <c r="Q321" s="13"/>
      <c r="R321" s="13" t="s">
        <v>774</v>
      </c>
      <c r="S321" s="18" t="s">
        <v>2216</v>
      </c>
    </row>
    <row r="322" spans="1:19" ht="52.05" customHeight="1">
      <c r="A322" s="14" t="s">
        <v>636</v>
      </c>
      <c r="B322" s="13">
        <v>2024</v>
      </c>
      <c r="C322" s="15">
        <v>338</v>
      </c>
      <c r="D322" s="13" t="s">
        <v>908</v>
      </c>
      <c r="E322" s="13" t="s">
        <v>763</v>
      </c>
      <c r="F322" s="13" t="s">
        <v>1274</v>
      </c>
      <c r="G322" s="13" t="s">
        <v>1275</v>
      </c>
      <c r="H322" s="13">
        <v>82</v>
      </c>
      <c r="I322" s="16">
        <v>343</v>
      </c>
      <c r="J322" s="16">
        <v>369.5</v>
      </c>
      <c r="K322" s="16">
        <v>417</v>
      </c>
      <c r="L322" s="16">
        <v>99</v>
      </c>
      <c r="M322" s="16">
        <v>1.2073170731707317</v>
      </c>
      <c r="N322" s="13"/>
      <c r="O322" s="13"/>
      <c r="P322" s="13"/>
      <c r="Q322" s="13"/>
      <c r="R322" s="13" t="s">
        <v>774</v>
      </c>
      <c r="S322" s="18" t="s">
        <v>2217</v>
      </c>
    </row>
    <row r="323" spans="1:19" ht="52.05" customHeight="1">
      <c r="A323" s="14" t="s">
        <v>636</v>
      </c>
      <c r="B323" s="13">
        <v>2025</v>
      </c>
      <c r="C323" s="15">
        <v>323</v>
      </c>
      <c r="D323" s="13" t="s">
        <v>848</v>
      </c>
      <c r="E323" s="13" t="s">
        <v>763</v>
      </c>
      <c r="F323" s="13" t="s">
        <v>1276</v>
      </c>
      <c r="G323" s="13" t="s">
        <v>1277</v>
      </c>
      <c r="H323" s="13">
        <v>62</v>
      </c>
      <c r="I323" s="16">
        <v>349</v>
      </c>
      <c r="J323" s="16"/>
      <c r="K323" s="16"/>
      <c r="L323" s="16">
        <v>79</v>
      </c>
      <c r="M323" s="16">
        <v>1.2741935483870968</v>
      </c>
      <c r="N323" s="13"/>
      <c r="O323" s="13"/>
      <c r="P323" s="13"/>
      <c r="Q323" s="13"/>
      <c r="R323" s="13" t="s">
        <v>774</v>
      </c>
      <c r="S323" s="18" t="s">
        <v>2216</v>
      </c>
    </row>
    <row r="324" spans="1:19" ht="52.05" customHeight="1">
      <c r="A324" s="14" t="s">
        <v>636</v>
      </c>
      <c r="B324" s="13">
        <v>2026</v>
      </c>
      <c r="C324" s="15">
        <v>324</v>
      </c>
      <c r="D324" s="13" t="s">
        <v>851</v>
      </c>
      <c r="E324" s="13" t="s">
        <v>763</v>
      </c>
      <c r="F324" s="13" t="s">
        <v>1278</v>
      </c>
      <c r="G324" s="13" t="s">
        <v>1279</v>
      </c>
      <c r="H324" s="13">
        <v>64</v>
      </c>
      <c r="I324" s="16">
        <v>340</v>
      </c>
      <c r="J324" s="16">
        <v>368</v>
      </c>
      <c r="K324" s="16">
        <v>408</v>
      </c>
      <c r="L324" s="16">
        <v>81</v>
      </c>
      <c r="M324" s="16">
        <v>1.265625</v>
      </c>
      <c r="N324" s="13"/>
      <c r="O324" s="13"/>
      <c r="P324" s="13"/>
      <c r="Q324" s="13"/>
      <c r="R324" s="13" t="s">
        <v>774</v>
      </c>
      <c r="S324" s="18" t="s">
        <v>2218</v>
      </c>
    </row>
    <row r="325" spans="1:19" ht="52.05" customHeight="1">
      <c r="A325" s="14" t="s">
        <v>642</v>
      </c>
      <c r="B325" s="13">
        <v>2022</v>
      </c>
      <c r="C325" s="15">
        <v>360</v>
      </c>
      <c r="D325" s="13" t="s">
        <v>865</v>
      </c>
      <c r="E325" s="13" t="s">
        <v>755</v>
      </c>
      <c r="F325" s="13" t="s">
        <v>756</v>
      </c>
      <c r="G325" s="13" t="s">
        <v>757</v>
      </c>
      <c r="H325" s="13">
        <v>25</v>
      </c>
      <c r="I325" s="16"/>
      <c r="J325" s="16"/>
      <c r="K325" s="16"/>
      <c r="L325" s="16">
        <v>30</v>
      </c>
      <c r="M325" s="16">
        <v>1.2</v>
      </c>
      <c r="N325" s="13"/>
      <c r="O325" s="13"/>
      <c r="P325" s="13"/>
      <c r="Q325" s="13"/>
      <c r="R325" s="13" t="s">
        <v>774</v>
      </c>
      <c r="S325" s="18" t="s">
        <v>2219</v>
      </c>
    </row>
    <row r="326" spans="1:19" ht="52.05" customHeight="1">
      <c r="A326" s="14" t="s">
        <v>642</v>
      </c>
      <c r="B326" s="13">
        <v>2023</v>
      </c>
      <c r="C326" s="15">
        <v>346</v>
      </c>
      <c r="D326" s="18" t="s">
        <v>2133</v>
      </c>
      <c r="E326" s="18" t="s">
        <v>2078</v>
      </c>
      <c r="F326" s="13" t="s">
        <v>843</v>
      </c>
      <c r="G326" s="13" t="s">
        <v>761</v>
      </c>
      <c r="H326" s="13">
        <v>23</v>
      </c>
      <c r="I326" s="16">
        <v>348</v>
      </c>
      <c r="J326" s="16"/>
      <c r="K326" s="16"/>
      <c r="L326" s="16">
        <v>32</v>
      </c>
      <c r="M326" s="16">
        <v>1.3913043478260869</v>
      </c>
      <c r="N326" s="13"/>
      <c r="O326" s="13"/>
      <c r="P326" s="13"/>
      <c r="Q326" s="13"/>
      <c r="R326" s="13" t="s">
        <v>774</v>
      </c>
      <c r="S326" s="18" t="s">
        <v>2219</v>
      </c>
    </row>
    <row r="327" spans="1:19" ht="52.05" customHeight="1">
      <c r="A327" s="14" t="s">
        <v>642</v>
      </c>
      <c r="B327" s="13">
        <v>2024</v>
      </c>
      <c r="C327" s="15">
        <v>338</v>
      </c>
      <c r="D327" s="13" t="s">
        <v>908</v>
      </c>
      <c r="E327" s="13" t="s">
        <v>763</v>
      </c>
      <c r="F327" s="13" t="s">
        <v>1280</v>
      </c>
      <c r="G327" s="13" t="s">
        <v>1281</v>
      </c>
      <c r="H327" s="13">
        <v>21</v>
      </c>
      <c r="I327" s="16">
        <v>339</v>
      </c>
      <c r="J327" s="16">
        <v>357</v>
      </c>
      <c r="K327" s="16">
        <v>411</v>
      </c>
      <c r="L327" s="16">
        <v>21</v>
      </c>
      <c r="M327" s="16">
        <v>1</v>
      </c>
      <c r="N327" s="13"/>
      <c r="O327" s="13"/>
      <c r="P327" s="13"/>
      <c r="Q327" s="13"/>
      <c r="R327" s="13" t="s">
        <v>774</v>
      </c>
      <c r="S327" s="18" t="s">
        <v>2220</v>
      </c>
    </row>
    <row r="328" spans="1:19" ht="52.05" customHeight="1">
      <c r="A328" s="14" t="s">
        <v>642</v>
      </c>
      <c r="B328" s="13">
        <v>2025</v>
      </c>
      <c r="C328" s="15">
        <v>323</v>
      </c>
      <c r="D328" s="13" t="s">
        <v>848</v>
      </c>
      <c r="E328" s="13" t="s">
        <v>763</v>
      </c>
      <c r="F328" s="13" t="s">
        <v>1282</v>
      </c>
      <c r="G328" s="13" t="s">
        <v>1283</v>
      </c>
      <c r="H328" s="13">
        <v>27</v>
      </c>
      <c r="I328" s="16">
        <v>332</v>
      </c>
      <c r="J328" s="16">
        <v>355</v>
      </c>
      <c r="K328" s="16">
        <v>423</v>
      </c>
      <c r="L328" s="16">
        <v>36</v>
      </c>
      <c r="M328" s="16">
        <v>1.3333333333333333</v>
      </c>
      <c r="N328" s="13"/>
      <c r="O328" s="13"/>
      <c r="P328" s="13"/>
      <c r="Q328" s="13"/>
      <c r="R328" s="13" t="s">
        <v>774</v>
      </c>
      <c r="S328" s="18" t="s">
        <v>2221</v>
      </c>
    </row>
    <row r="329" spans="1:19" ht="52.05" customHeight="1">
      <c r="A329" s="14" t="s">
        <v>642</v>
      </c>
      <c r="B329" s="13">
        <v>2026</v>
      </c>
      <c r="C329" s="15">
        <v>324</v>
      </c>
      <c r="D329" s="13" t="s">
        <v>851</v>
      </c>
      <c r="E329" s="13" t="s">
        <v>763</v>
      </c>
      <c r="F329" s="13" t="s">
        <v>1284</v>
      </c>
      <c r="G329" s="13" t="s">
        <v>1285</v>
      </c>
      <c r="H329" s="13">
        <v>27</v>
      </c>
      <c r="I329" s="16">
        <v>339</v>
      </c>
      <c r="J329" s="16">
        <v>370</v>
      </c>
      <c r="K329" s="16">
        <v>416</v>
      </c>
      <c r="L329" s="16">
        <v>43</v>
      </c>
      <c r="M329" s="16">
        <v>1.5925925925925926</v>
      </c>
      <c r="N329" s="13"/>
      <c r="O329" s="13"/>
      <c r="P329" s="13"/>
      <c r="Q329" s="13"/>
      <c r="R329" s="13" t="s">
        <v>774</v>
      </c>
      <c r="S329" s="18" t="s">
        <v>2222</v>
      </c>
    </row>
    <row r="330" spans="1:19" ht="52.05" customHeight="1">
      <c r="A330" s="14" t="s">
        <v>648</v>
      </c>
      <c r="B330" s="13">
        <v>2022</v>
      </c>
      <c r="C330" s="15">
        <v>369</v>
      </c>
      <c r="D330" s="13" t="s">
        <v>1072</v>
      </c>
      <c r="E330" s="13" t="s">
        <v>755</v>
      </c>
      <c r="F330" s="13" t="s">
        <v>756</v>
      </c>
      <c r="G330" s="13" t="s">
        <v>757</v>
      </c>
      <c r="H330" s="13">
        <v>42</v>
      </c>
      <c r="I330" s="16"/>
      <c r="J330" s="16"/>
      <c r="K330" s="16"/>
      <c r="L330" s="16">
        <v>52</v>
      </c>
      <c r="M330" s="16">
        <v>1.2380952380952379</v>
      </c>
      <c r="N330" s="13"/>
      <c r="O330" s="13"/>
      <c r="P330" s="13"/>
      <c r="Q330" s="13"/>
      <c r="R330" s="13" t="s">
        <v>774</v>
      </c>
      <c r="S330" s="18" t="s">
        <v>2223</v>
      </c>
    </row>
    <row r="331" spans="1:19" ht="52.05" customHeight="1">
      <c r="A331" s="14" t="s">
        <v>648</v>
      </c>
      <c r="B331" s="13">
        <v>2023</v>
      </c>
      <c r="C331" s="15">
        <v>375</v>
      </c>
      <c r="D331" s="18" t="s">
        <v>2224</v>
      </c>
      <c r="E331" s="18" t="s">
        <v>2078</v>
      </c>
      <c r="F331" s="13" t="s">
        <v>843</v>
      </c>
      <c r="G331" s="13" t="s">
        <v>761</v>
      </c>
      <c r="H331" s="13">
        <v>35</v>
      </c>
      <c r="I331" s="16">
        <v>375</v>
      </c>
      <c r="J331" s="16"/>
      <c r="K331" s="16"/>
      <c r="L331" s="16">
        <v>45</v>
      </c>
      <c r="M331" s="16">
        <v>1.2857142857142858</v>
      </c>
      <c r="N331" s="13"/>
      <c r="O331" s="13"/>
      <c r="P331" s="13"/>
      <c r="Q331" s="13"/>
      <c r="R331" s="13" t="s">
        <v>774</v>
      </c>
      <c r="S331" s="18" t="s">
        <v>2223</v>
      </c>
    </row>
    <row r="332" spans="1:19" ht="52.05" customHeight="1">
      <c r="A332" s="14" t="s">
        <v>648</v>
      </c>
      <c r="B332" s="13">
        <v>2024</v>
      </c>
      <c r="C332" s="15">
        <v>338</v>
      </c>
      <c r="D332" s="13" t="s">
        <v>908</v>
      </c>
      <c r="E332" s="13" t="s">
        <v>763</v>
      </c>
      <c r="F332" s="13" t="s">
        <v>1286</v>
      </c>
      <c r="G332" s="13" t="s">
        <v>1287</v>
      </c>
      <c r="H332" s="13">
        <v>32</v>
      </c>
      <c r="I332" s="16">
        <v>365</v>
      </c>
      <c r="J332" s="16"/>
      <c r="K332" s="16"/>
      <c r="L332" s="16">
        <v>39</v>
      </c>
      <c r="M332" s="16">
        <v>1.21875</v>
      </c>
      <c r="N332" s="13"/>
      <c r="O332" s="13"/>
      <c r="P332" s="13"/>
      <c r="Q332" s="13"/>
      <c r="R332" s="13" t="s">
        <v>774</v>
      </c>
      <c r="S332" s="18" t="s">
        <v>2223</v>
      </c>
    </row>
    <row r="333" spans="1:19" ht="52.05" customHeight="1">
      <c r="A333" s="14" t="s">
        <v>648</v>
      </c>
      <c r="B333" s="13">
        <v>2025</v>
      </c>
      <c r="C333" s="15">
        <v>323</v>
      </c>
      <c r="D333" s="13" t="s">
        <v>848</v>
      </c>
      <c r="E333" s="13" t="s">
        <v>763</v>
      </c>
      <c r="F333" s="13" t="s">
        <v>1288</v>
      </c>
      <c r="G333" s="13" t="s">
        <v>1289</v>
      </c>
      <c r="H333" s="13">
        <v>34</v>
      </c>
      <c r="I333" s="16">
        <v>338</v>
      </c>
      <c r="J333" s="16"/>
      <c r="K333" s="16"/>
      <c r="L333" s="16">
        <v>42</v>
      </c>
      <c r="M333" s="16">
        <v>1.2352941176470589</v>
      </c>
      <c r="N333" s="13"/>
      <c r="O333" s="13"/>
      <c r="P333" s="13"/>
      <c r="Q333" s="13"/>
      <c r="R333" s="13" t="s">
        <v>774</v>
      </c>
      <c r="S333" s="18" t="s">
        <v>2223</v>
      </c>
    </row>
    <row r="334" spans="1:19" ht="52.05" customHeight="1">
      <c r="A334" s="14" t="s">
        <v>648</v>
      </c>
      <c r="B334" s="13">
        <v>2026</v>
      </c>
      <c r="C334" s="15">
        <v>324</v>
      </c>
      <c r="D334" s="13" t="s">
        <v>851</v>
      </c>
      <c r="E334" s="13" t="s">
        <v>763</v>
      </c>
      <c r="F334" s="13" t="s">
        <v>1290</v>
      </c>
      <c r="G334" s="13" t="s">
        <v>1291</v>
      </c>
      <c r="H334" s="13">
        <v>33</v>
      </c>
      <c r="I334" s="16">
        <v>353</v>
      </c>
      <c r="J334" s="16">
        <v>374</v>
      </c>
      <c r="K334" s="16">
        <v>424</v>
      </c>
      <c r="L334" s="16">
        <v>41</v>
      </c>
      <c r="M334" s="16">
        <v>1.2424242424242424</v>
      </c>
      <c r="N334" s="13"/>
      <c r="O334" s="13"/>
      <c r="P334" s="13"/>
      <c r="Q334" s="13"/>
      <c r="R334" s="13" t="s">
        <v>774</v>
      </c>
      <c r="S334" s="18" t="s">
        <v>2225</v>
      </c>
    </row>
    <row r="335" spans="1:19" ht="52.05" customHeight="1">
      <c r="A335" s="14" t="s">
        <v>653</v>
      </c>
      <c r="B335" s="13">
        <v>2022</v>
      </c>
      <c r="C335" s="15">
        <v>360</v>
      </c>
      <c r="D335" s="13" t="s">
        <v>865</v>
      </c>
      <c r="E335" s="13" t="s">
        <v>755</v>
      </c>
      <c r="F335" s="13" t="s">
        <v>756</v>
      </c>
      <c r="G335" s="13" t="s">
        <v>757</v>
      </c>
      <c r="H335" s="13">
        <v>13</v>
      </c>
      <c r="I335" s="16"/>
      <c r="J335" s="16"/>
      <c r="K335" s="16"/>
      <c r="L335" s="16">
        <v>13</v>
      </c>
      <c r="M335" s="16">
        <v>1</v>
      </c>
      <c r="N335" s="13"/>
      <c r="O335" s="13"/>
      <c r="P335" s="13"/>
      <c r="Q335" s="13"/>
      <c r="R335" s="13" t="s">
        <v>774</v>
      </c>
      <c r="S335" s="18" t="s">
        <v>2226</v>
      </c>
    </row>
    <row r="336" spans="1:19" ht="52.05" customHeight="1">
      <c r="A336" s="14" t="s">
        <v>653</v>
      </c>
      <c r="B336" s="13">
        <v>2023</v>
      </c>
      <c r="C336" s="15">
        <v>353</v>
      </c>
      <c r="D336" s="18" t="s">
        <v>2227</v>
      </c>
      <c r="E336" s="18" t="s">
        <v>2078</v>
      </c>
      <c r="F336" s="13" t="s">
        <v>843</v>
      </c>
      <c r="G336" s="13" t="s">
        <v>761</v>
      </c>
      <c r="H336" s="13">
        <v>24</v>
      </c>
      <c r="I336" s="16">
        <v>353</v>
      </c>
      <c r="J336" s="16"/>
      <c r="K336" s="16"/>
      <c r="L336" s="16">
        <v>32</v>
      </c>
      <c r="M336" s="16">
        <v>1.3333333333333333</v>
      </c>
      <c r="N336" s="13"/>
      <c r="O336" s="13"/>
      <c r="P336" s="13"/>
      <c r="Q336" s="13"/>
      <c r="R336" s="13" t="s">
        <v>774</v>
      </c>
      <c r="S336" s="18" t="s">
        <v>2226</v>
      </c>
    </row>
    <row r="337" spans="1:19" ht="52.05" customHeight="1">
      <c r="A337" s="14" t="s">
        <v>653</v>
      </c>
      <c r="B337" s="13">
        <v>2024</v>
      </c>
      <c r="C337" s="15">
        <v>338</v>
      </c>
      <c r="D337" s="13" t="s">
        <v>908</v>
      </c>
      <c r="E337" s="13" t="s">
        <v>763</v>
      </c>
      <c r="F337" s="13" t="s">
        <v>1292</v>
      </c>
      <c r="G337" s="13" t="s">
        <v>1293</v>
      </c>
      <c r="H337" s="13">
        <v>24</v>
      </c>
      <c r="I337" s="16">
        <v>362</v>
      </c>
      <c r="J337" s="16">
        <v>382.5</v>
      </c>
      <c r="K337" s="16">
        <v>425</v>
      </c>
      <c r="L337" s="16">
        <v>33</v>
      </c>
      <c r="M337" s="16">
        <v>1.375</v>
      </c>
      <c r="N337" s="13"/>
      <c r="O337" s="13"/>
      <c r="P337" s="13"/>
      <c r="Q337" s="13"/>
      <c r="R337" s="13" t="s">
        <v>774</v>
      </c>
      <c r="S337" s="18" t="s">
        <v>2228</v>
      </c>
    </row>
    <row r="338" spans="1:19" ht="52.05" customHeight="1">
      <c r="A338" s="14" t="s">
        <v>653</v>
      </c>
      <c r="B338" s="13">
        <v>2025</v>
      </c>
      <c r="C338" s="15">
        <v>323</v>
      </c>
      <c r="D338" s="13" t="s">
        <v>848</v>
      </c>
      <c r="E338" s="13" t="s">
        <v>763</v>
      </c>
      <c r="F338" s="13" t="s">
        <v>1294</v>
      </c>
      <c r="G338" s="13" t="s">
        <v>1295</v>
      </c>
      <c r="H338" s="13">
        <v>24</v>
      </c>
      <c r="I338" s="16">
        <v>323</v>
      </c>
      <c r="J338" s="16">
        <v>347.5</v>
      </c>
      <c r="K338" s="16">
        <v>417</v>
      </c>
      <c r="L338" s="16">
        <v>25</v>
      </c>
      <c r="M338" s="16">
        <v>1.0416666666666667</v>
      </c>
      <c r="N338" s="13"/>
      <c r="O338" s="13"/>
      <c r="P338" s="13"/>
      <c r="Q338" s="13"/>
      <c r="R338" s="13" t="s">
        <v>774</v>
      </c>
      <c r="S338" s="18" t="s">
        <v>2229</v>
      </c>
    </row>
    <row r="339" spans="1:19" ht="52.05" customHeight="1">
      <c r="A339" s="14" t="s">
        <v>653</v>
      </c>
      <c r="B339" s="13">
        <v>2026</v>
      </c>
      <c r="C339" s="15">
        <v>324</v>
      </c>
      <c r="D339" s="13" t="s">
        <v>851</v>
      </c>
      <c r="E339" s="13" t="s">
        <v>763</v>
      </c>
      <c r="F339" s="13" t="s">
        <v>1296</v>
      </c>
      <c r="G339" s="13" t="s">
        <v>1297</v>
      </c>
      <c r="H339" s="13">
        <v>21</v>
      </c>
      <c r="I339" s="16">
        <v>369</v>
      </c>
      <c r="J339" s="16">
        <v>384</v>
      </c>
      <c r="K339" s="16">
        <v>431</v>
      </c>
      <c r="L339" s="16">
        <v>28</v>
      </c>
      <c r="M339" s="16">
        <v>1.3333333333333333</v>
      </c>
      <c r="N339" s="13"/>
      <c r="O339" s="13"/>
      <c r="P339" s="13"/>
      <c r="Q339" s="13"/>
      <c r="R339" s="13" t="s">
        <v>774</v>
      </c>
      <c r="S339" s="18" t="s">
        <v>2230</v>
      </c>
    </row>
    <row r="340" spans="1:19" ht="52.05" customHeight="1">
      <c r="A340" s="14" t="s">
        <v>664</v>
      </c>
      <c r="B340" s="13">
        <v>2022</v>
      </c>
      <c r="C340" s="15">
        <v>384</v>
      </c>
      <c r="D340" s="13" t="s">
        <v>1298</v>
      </c>
      <c r="E340" s="13" t="s">
        <v>755</v>
      </c>
      <c r="F340" s="13" t="s">
        <v>756</v>
      </c>
      <c r="G340" s="13" t="s">
        <v>757</v>
      </c>
      <c r="H340" s="13">
        <v>14</v>
      </c>
      <c r="I340" s="16">
        <v>388</v>
      </c>
      <c r="J340" s="16"/>
      <c r="K340" s="16"/>
      <c r="L340" s="16">
        <v>17</v>
      </c>
      <c r="M340" s="16">
        <v>1.2142857142857142</v>
      </c>
      <c r="N340" s="13"/>
      <c r="O340" s="13"/>
      <c r="P340" s="13"/>
      <c r="Q340" s="13"/>
      <c r="R340" s="13" t="s">
        <v>774</v>
      </c>
      <c r="S340" s="18" t="s">
        <v>2231</v>
      </c>
    </row>
    <row r="341" spans="1:19" ht="52.05" customHeight="1">
      <c r="A341" s="14" t="s">
        <v>664</v>
      </c>
      <c r="B341" s="13">
        <v>2023</v>
      </c>
      <c r="C341" s="15">
        <v>349</v>
      </c>
      <c r="D341" s="18" t="s">
        <v>2180</v>
      </c>
      <c r="E341" s="18" t="s">
        <v>2078</v>
      </c>
      <c r="F341" s="13" t="s">
        <v>843</v>
      </c>
      <c r="G341" s="13" t="s">
        <v>761</v>
      </c>
      <c r="H341" s="13">
        <v>11</v>
      </c>
      <c r="I341" s="16">
        <v>349</v>
      </c>
      <c r="J341" s="16">
        <v>358</v>
      </c>
      <c r="K341" s="16">
        <v>412</v>
      </c>
      <c r="L341" s="16">
        <v>12</v>
      </c>
      <c r="M341" s="16">
        <v>1.0909090909090908</v>
      </c>
      <c r="N341" s="13"/>
      <c r="O341" s="13"/>
      <c r="P341" s="13"/>
      <c r="Q341" s="13"/>
      <c r="R341" s="13" t="s">
        <v>774</v>
      </c>
      <c r="S341" s="18" t="s">
        <v>2232</v>
      </c>
    </row>
    <row r="342" spans="1:19" ht="52.05" customHeight="1">
      <c r="A342" s="14" t="s">
        <v>664</v>
      </c>
      <c r="B342" s="13">
        <v>2024</v>
      </c>
      <c r="C342" s="15">
        <v>338</v>
      </c>
      <c r="D342" s="13" t="s">
        <v>908</v>
      </c>
      <c r="E342" s="13" t="s">
        <v>763</v>
      </c>
      <c r="F342" s="13" t="s">
        <v>1299</v>
      </c>
      <c r="G342" s="13" t="s">
        <v>1300</v>
      </c>
      <c r="H342" s="13">
        <v>8</v>
      </c>
      <c r="I342" s="16">
        <v>338</v>
      </c>
      <c r="J342" s="16">
        <v>363.5</v>
      </c>
      <c r="K342" s="16">
        <v>403</v>
      </c>
      <c r="L342" s="16">
        <v>9</v>
      </c>
      <c r="M342" s="16">
        <v>1.125</v>
      </c>
      <c r="N342" s="13"/>
      <c r="O342" s="13"/>
      <c r="P342" s="13"/>
      <c r="Q342" s="13"/>
      <c r="R342" s="13" t="s">
        <v>774</v>
      </c>
      <c r="S342" s="18" t="s">
        <v>2233</v>
      </c>
    </row>
    <row r="343" spans="1:19" ht="52.05" customHeight="1">
      <c r="A343" s="14" t="s">
        <v>664</v>
      </c>
      <c r="B343" s="13">
        <v>2025</v>
      </c>
      <c r="C343" s="15">
        <v>323</v>
      </c>
      <c r="D343" s="13" t="s">
        <v>848</v>
      </c>
      <c r="E343" s="13" t="s">
        <v>763</v>
      </c>
      <c r="F343" s="13" t="s">
        <v>1301</v>
      </c>
      <c r="G343" s="13" t="s">
        <v>1302</v>
      </c>
      <c r="H343" s="13">
        <v>12</v>
      </c>
      <c r="I343" s="16">
        <v>334</v>
      </c>
      <c r="J343" s="16">
        <v>362</v>
      </c>
      <c r="K343" s="16">
        <v>388</v>
      </c>
      <c r="L343" s="16">
        <v>18</v>
      </c>
      <c r="M343" s="16">
        <v>1.5</v>
      </c>
      <c r="N343" s="13"/>
      <c r="O343" s="13"/>
      <c r="P343" s="13"/>
      <c r="Q343" s="13"/>
      <c r="R343" s="13" t="s">
        <v>774</v>
      </c>
      <c r="S343" s="18" t="s">
        <v>2234</v>
      </c>
    </row>
    <row r="344" spans="1:19" ht="52.05" customHeight="1">
      <c r="A344" s="14" t="s">
        <v>664</v>
      </c>
      <c r="B344" s="13">
        <v>2026</v>
      </c>
      <c r="C344" s="15">
        <v>324</v>
      </c>
      <c r="D344" s="13" t="s">
        <v>851</v>
      </c>
      <c r="E344" s="13" t="s">
        <v>763</v>
      </c>
      <c r="F344" s="13" t="s">
        <v>1303</v>
      </c>
      <c r="G344" s="13" t="s">
        <v>1304</v>
      </c>
      <c r="H344" s="13">
        <v>10</v>
      </c>
      <c r="I344" s="16">
        <v>341</v>
      </c>
      <c r="J344" s="16">
        <v>367.5</v>
      </c>
      <c r="K344" s="16">
        <v>422</v>
      </c>
      <c r="L344" s="16">
        <v>11</v>
      </c>
      <c r="M344" s="16">
        <v>1.1000000000000001</v>
      </c>
      <c r="N344" s="13"/>
      <c r="O344" s="13"/>
      <c r="P344" s="13"/>
      <c r="Q344" s="13"/>
      <c r="R344" s="13" t="s">
        <v>774</v>
      </c>
      <c r="S344" s="18" t="s">
        <v>2235</v>
      </c>
    </row>
    <row r="345" spans="1:19" ht="52.05" customHeight="1">
      <c r="A345" s="14" t="s">
        <v>667</v>
      </c>
      <c r="B345" s="13">
        <v>2022</v>
      </c>
      <c r="C345" s="15"/>
      <c r="D345" s="13" t="s">
        <v>952</v>
      </c>
      <c r="E345" s="13" t="s">
        <v>755</v>
      </c>
      <c r="F345" s="13" t="s">
        <v>952</v>
      </c>
      <c r="G345" s="13" t="s">
        <v>757</v>
      </c>
      <c r="H345" s="13"/>
      <c r="I345" s="16"/>
      <c r="J345" s="16"/>
      <c r="K345" s="16"/>
      <c r="L345" s="16"/>
      <c r="M345" s="16"/>
      <c r="N345" s="13"/>
      <c r="O345" s="13"/>
      <c r="P345" s="13"/>
      <c r="Q345" s="13"/>
      <c r="R345" s="13" t="s">
        <v>774</v>
      </c>
      <c r="S345" s="18" t="s">
        <v>2236</v>
      </c>
    </row>
    <row r="346" spans="1:19" ht="52.05" customHeight="1">
      <c r="A346" s="14" t="s">
        <v>667</v>
      </c>
      <c r="B346" s="13">
        <v>2023</v>
      </c>
      <c r="C346" s="15">
        <v>349</v>
      </c>
      <c r="D346" s="18" t="s">
        <v>2180</v>
      </c>
      <c r="E346" s="18" t="s">
        <v>2078</v>
      </c>
      <c r="F346" s="13" t="s">
        <v>843</v>
      </c>
      <c r="G346" s="13" t="s">
        <v>761</v>
      </c>
      <c r="H346" s="13">
        <v>15</v>
      </c>
      <c r="I346" s="16">
        <v>349</v>
      </c>
      <c r="J346" s="16">
        <v>367</v>
      </c>
      <c r="K346" s="16">
        <v>400</v>
      </c>
      <c r="L346" s="16">
        <v>15</v>
      </c>
      <c r="M346" s="16">
        <v>1</v>
      </c>
      <c r="N346" s="13"/>
      <c r="O346" s="13"/>
      <c r="P346" s="13"/>
      <c r="Q346" s="13"/>
      <c r="R346" s="13" t="s">
        <v>774</v>
      </c>
      <c r="S346" s="18" t="s">
        <v>2237</v>
      </c>
    </row>
    <row r="347" spans="1:19" ht="52.05" customHeight="1">
      <c r="A347" s="14" t="s">
        <v>667</v>
      </c>
      <c r="B347" s="13">
        <v>2024</v>
      </c>
      <c r="C347" s="15">
        <v>338</v>
      </c>
      <c r="D347" s="13" t="s">
        <v>908</v>
      </c>
      <c r="E347" s="13" t="s">
        <v>763</v>
      </c>
      <c r="F347" s="13" t="s">
        <v>1305</v>
      </c>
      <c r="G347" s="13" t="s">
        <v>1306</v>
      </c>
      <c r="H347" s="13">
        <v>24</v>
      </c>
      <c r="I347" s="16">
        <v>382</v>
      </c>
      <c r="J347" s="16">
        <v>392.5</v>
      </c>
      <c r="K347" s="16">
        <v>419</v>
      </c>
      <c r="L347" s="16">
        <v>30</v>
      </c>
      <c r="M347" s="16">
        <v>1.25</v>
      </c>
      <c r="N347" s="13"/>
      <c r="O347" s="13"/>
      <c r="P347" s="13"/>
      <c r="Q347" s="13"/>
      <c r="R347" s="13" t="s">
        <v>774</v>
      </c>
      <c r="S347" s="18" t="s">
        <v>2238</v>
      </c>
    </row>
    <row r="348" spans="1:19" ht="52.05" customHeight="1">
      <c r="A348" s="14" t="s">
        <v>667</v>
      </c>
      <c r="B348" s="13">
        <v>2025</v>
      </c>
      <c r="C348" s="15">
        <v>323</v>
      </c>
      <c r="D348" s="13" t="s">
        <v>848</v>
      </c>
      <c r="E348" s="13" t="s">
        <v>763</v>
      </c>
      <c r="F348" s="13" t="s">
        <v>1307</v>
      </c>
      <c r="G348" s="13" t="s">
        <v>1308</v>
      </c>
      <c r="H348" s="13">
        <v>35</v>
      </c>
      <c r="I348" s="16">
        <v>352</v>
      </c>
      <c r="J348" s="16"/>
      <c r="K348" s="16"/>
      <c r="L348" s="16">
        <v>44</v>
      </c>
      <c r="M348" s="16">
        <v>1.2571428571428571</v>
      </c>
      <c r="N348" s="13"/>
      <c r="O348" s="13"/>
      <c r="P348" s="13"/>
      <c r="Q348" s="13"/>
      <c r="R348" s="13" t="s">
        <v>774</v>
      </c>
      <c r="S348" s="18" t="s">
        <v>2236</v>
      </c>
    </row>
    <row r="349" spans="1:19" ht="52.05" customHeight="1">
      <c r="A349" s="14" t="s">
        <v>667</v>
      </c>
      <c r="B349" s="13">
        <v>2026</v>
      </c>
      <c r="C349" s="15">
        <v>324</v>
      </c>
      <c r="D349" s="13" t="s">
        <v>851</v>
      </c>
      <c r="E349" s="13" t="s">
        <v>763</v>
      </c>
      <c r="F349" s="13" t="s">
        <v>1309</v>
      </c>
      <c r="G349" s="13" t="s">
        <v>1310</v>
      </c>
      <c r="H349" s="13">
        <v>29</v>
      </c>
      <c r="I349" s="16">
        <v>378</v>
      </c>
      <c r="J349" s="16">
        <v>393</v>
      </c>
      <c r="K349" s="16">
        <v>420</v>
      </c>
      <c r="L349" s="16">
        <v>34</v>
      </c>
      <c r="M349" s="16">
        <v>1.1724137931034482</v>
      </c>
      <c r="N349" s="13"/>
      <c r="O349" s="13"/>
      <c r="P349" s="13"/>
      <c r="Q349" s="13"/>
      <c r="R349" s="13" t="s">
        <v>774</v>
      </c>
      <c r="S349" s="18" t="s">
        <v>2239</v>
      </c>
    </row>
    <row r="350" spans="1:19" ht="52.05" customHeight="1">
      <c r="A350" s="14" t="s">
        <v>673</v>
      </c>
      <c r="B350" s="13">
        <v>2022</v>
      </c>
      <c r="C350" s="15">
        <v>365</v>
      </c>
      <c r="D350" s="13" t="s">
        <v>1121</v>
      </c>
      <c r="E350" s="13" t="s">
        <v>755</v>
      </c>
      <c r="F350" s="13" t="s">
        <v>756</v>
      </c>
      <c r="G350" s="13" t="s">
        <v>757</v>
      </c>
      <c r="H350" s="13">
        <v>37</v>
      </c>
      <c r="I350" s="16"/>
      <c r="J350" s="16"/>
      <c r="K350" s="16"/>
      <c r="L350" s="16">
        <v>63</v>
      </c>
      <c r="M350" s="16">
        <v>1.7027027027027026</v>
      </c>
      <c r="N350" s="13"/>
      <c r="O350" s="13"/>
      <c r="P350" s="13"/>
      <c r="Q350" s="13"/>
      <c r="R350" s="13" t="s">
        <v>774</v>
      </c>
      <c r="S350" s="18" t="s">
        <v>2240</v>
      </c>
    </row>
    <row r="351" spans="1:19" ht="52.05" customHeight="1">
      <c r="A351" s="14" t="s">
        <v>673</v>
      </c>
      <c r="B351" s="13">
        <v>2023</v>
      </c>
      <c r="C351" s="15">
        <v>346</v>
      </c>
      <c r="D351" s="18" t="s">
        <v>2133</v>
      </c>
      <c r="E351" s="18" t="s">
        <v>2078</v>
      </c>
      <c r="F351" s="13" t="s">
        <v>843</v>
      </c>
      <c r="G351" s="13" t="s">
        <v>761</v>
      </c>
      <c r="H351" s="13">
        <v>27</v>
      </c>
      <c r="I351" s="16">
        <v>346</v>
      </c>
      <c r="J351" s="16"/>
      <c r="K351" s="16"/>
      <c r="L351" s="16">
        <v>28</v>
      </c>
      <c r="M351" s="16">
        <v>1.037037037037037</v>
      </c>
      <c r="N351" s="13"/>
      <c r="O351" s="13"/>
      <c r="P351" s="13"/>
      <c r="Q351" s="13"/>
      <c r="R351" s="13" t="s">
        <v>774</v>
      </c>
      <c r="S351" s="18" t="s">
        <v>2240</v>
      </c>
    </row>
    <row r="352" spans="1:19" ht="52.05" customHeight="1">
      <c r="A352" s="14" t="s">
        <v>673</v>
      </c>
      <c r="B352" s="13">
        <v>2024</v>
      </c>
      <c r="C352" s="15">
        <v>338</v>
      </c>
      <c r="D352" s="13" t="s">
        <v>908</v>
      </c>
      <c r="E352" s="13" t="s">
        <v>763</v>
      </c>
      <c r="F352" s="13" t="s">
        <v>1311</v>
      </c>
      <c r="G352" s="13" t="s">
        <v>1312</v>
      </c>
      <c r="H352" s="13">
        <v>16</v>
      </c>
      <c r="I352" s="16">
        <v>371</v>
      </c>
      <c r="J352" s="16">
        <v>393.5</v>
      </c>
      <c r="K352" s="16">
        <v>417</v>
      </c>
      <c r="L352" s="16">
        <v>20</v>
      </c>
      <c r="M352" s="16">
        <v>1.25</v>
      </c>
      <c r="N352" s="13"/>
      <c r="O352" s="13"/>
      <c r="P352" s="13"/>
      <c r="Q352" s="13"/>
      <c r="R352" s="13" t="s">
        <v>774</v>
      </c>
      <c r="S352" s="18" t="s">
        <v>2241</v>
      </c>
    </row>
    <row r="353" spans="1:19" ht="52.05" customHeight="1">
      <c r="A353" s="14" t="s">
        <v>673</v>
      </c>
      <c r="B353" s="13">
        <v>2025</v>
      </c>
      <c r="C353" s="15">
        <v>323</v>
      </c>
      <c r="D353" s="13" t="s">
        <v>848</v>
      </c>
      <c r="E353" s="13" t="s">
        <v>763</v>
      </c>
      <c r="F353" s="13" t="s">
        <v>1313</v>
      </c>
      <c r="G353" s="13" t="s">
        <v>1314</v>
      </c>
      <c r="H353" s="13">
        <v>12</v>
      </c>
      <c r="I353" s="16">
        <v>367</v>
      </c>
      <c r="J353" s="16">
        <v>372</v>
      </c>
      <c r="K353" s="16">
        <v>403</v>
      </c>
      <c r="L353" s="16">
        <v>15</v>
      </c>
      <c r="M353" s="16">
        <v>1.25</v>
      </c>
      <c r="N353" s="13"/>
      <c r="O353" s="13"/>
      <c r="P353" s="13"/>
      <c r="Q353" s="13"/>
      <c r="R353" s="13" t="s">
        <v>774</v>
      </c>
      <c r="S353" s="18" t="s">
        <v>2242</v>
      </c>
    </row>
    <row r="354" spans="1:19" ht="52.05" customHeight="1">
      <c r="A354" s="14" t="s">
        <v>673</v>
      </c>
      <c r="B354" s="13">
        <v>2026</v>
      </c>
      <c r="C354" s="15">
        <v>324</v>
      </c>
      <c r="D354" s="13" t="s">
        <v>851</v>
      </c>
      <c r="E354" s="13" t="s">
        <v>763</v>
      </c>
      <c r="F354" s="13" t="s">
        <v>1315</v>
      </c>
      <c r="G354" s="13" t="s">
        <v>1316</v>
      </c>
      <c r="H354" s="13">
        <v>6</v>
      </c>
      <c r="I354" s="16">
        <v>326</v>
      </c>
      <c r="J354" s="16">
        <v>341</v>
      </c>
      <c r="K354" s="16">
        <v>396</v>
      </c>
      <c r="L354" s="16">
        <v>7</v>
      </c>
      <c r="M354" s="16">
        <v>1.1666666666666667</v>
      </c>
      <c r="N354" s="13"/>
      <c r="O354" s="13"/>
      <c r="P354" s="13"/>
      <c r="Q354" s="13"/>
      <c r="R354" s="13" t="s">
        <v>774</v>
      </c>
      <c r="S354" s="18" t="s">
        <v>2243</v>
      </c>
    </row>
    <row r="355" spans="1:19" ht="52.05" customHeight="1">
      <c r="A355" s="14" t="s">
        <v>681</v>
      </c>
      <c r="B355" s="13">
        <v>2022</v>
      </c>
      <c r="C355" s="15">
        <v>370</v>
      </c>
      <c r="D355" s="13" t="s">
        <v>884</v>
      </c>
      <c r="E355" s="13" t="s">
        <v>755</v>
      </c>
      <c r="F355" s="13" t="s">
        <v>756</v>
      </c>
      <c r="G355" s="13" t="s">
        <v>757</v>
      </c>
      <c r="H355" s="13">
        <v>86</v>
      </c>
      <c r="I355" s="16"/>
      <c r="J355" s="16"/>
      <c r="K355" s="16"/>
      <c r="L355" s="16">
        <v>113</v>
      </c>
      <c r="M355" s="16">
        <v>1.3139534883720929</v>
      </c>
      <c r="N355" s="13"/>
      <c r="O355" s="13"/>
      <c r="P355" s="13"/>
      <c r="Q355" s="13"/>
      <c r="R355" s="13" t="s">
        <v>774</v>
      </c>
      <c r="S355" s="18" t="s">
        <v>2244</v>
      </c>
    </row>
    <row r="356" spans="1:19" ht="52.05" customHeight="1">
      <c r="A356" s="14" t="s">
        <v>681</v>
      </c>
      <c r="B356" s="13">
        <v>2023</v>
      </c>
      <c r="C356" s="15">
        <v>364</v>
      </c>
      <c r="D356" s="18" t="s">
        <v>2127</v>
      </c>
      <c r="E356" s="18" t="s">
        <v>2078</v>
      </c>
      <c r="F356" s="13" t="s">
        <v>843</v>
      </c>
      <c r="G356" s="13" t="s">
        <v>761</v>
      </c>
      <c r="H356" s="13">
        <v>85</v>
      </c>
      <c r="I356" s="16">
        <v>364</v>
      </c>
      <c r="J356" s="16"/>
      <c r="K356" s="16"/>
      <c r="L356" s="16">
        <v>102</v>
      </c>
      <c r="M356" s="16">
        <v>1.2</v>
      </c>
      <c r="N356" s="13"/>
      <c r="O356" s="13"/>
      <c r="P356" s="13"/>
      <c r="Q356" s="13"/>
      <c r="R356" s="13" t="s">
        <v>774</v>
      </c>
      <c r="S356" s="18" t="s">
        <v>2244</v>
      </c>
    </row>
    <row r="357" spans="1:19" ht="52.05" customHeight="1">
      <c r="A357" s="14" t="s">
        <v>681</v>
      </c>
      <c r="B357" s="13">
        <v>2024</v>
      </c>
      <c r="C357" s="15">
        <v>338</v>
      </c>
      <c r="D357" s="13" t="s">
        <v>908</v>
      </c>
      <c r="E357" s="13" t="s">
        <v>763</v>
      </c>
      <c r="F357" s="13" t="s">
        <v>1317</v>
      </c>
      <c r="G357" s="13" t="s">
        <v>1318</v>
      </c>
      <c r="H357" s="13">
        <v>80</v>
      </c>
      <c r="I357" s="16">
        <v>377</v>
      </c>
      <c r="J357" s="16"/>
      <c r="K357" s="16"/>
      <c r="L357" s="16">
        <v>96</v>
      </c>
      <c r="M357" s="16">
        <v>1.2</v>
      </c>
      <c r="N357" s="13"/>
      <c r="O357" s="13"/>
      <c r="P357" s="13"/>
      <c r="Q357" s="13"/>
      <c r="R357" s="13" t="s">
        <v>774</v>
      </c>
      <c r="S357" s="18" t="s">
        <v>2244</v>
      </c>
    </row>
    <row r="358" spans="1:19" ht="52.05" customHeight="1">
      <c r="A358" s="14" t="s">
        <v>681</v>
      </c>
      <c r="B358" s="13">
        <v>2025</v>
      </c>
      <c r="C358" s="15">
        <v>323</v>
      </c>
      <c r="D358" s="13" t="s">
        <v>848</v>
      </c>
      <c r="E358" s="13" t="s">
        <v>763</v>
      </c>
      <c r="F358" s="13" t="s">
        <v>1319</v>
      </c>
      <c r="G358" s="13" t="s">
        <v>1320</v>
      </c>
      <c r="H358" s="13">
        <v>76</v>
      </c>
      <c r="I358" s="16">
        <v>366</v>
      </c>
      <c r="J358" s="16"/>
      <c r="K358" s="16"/>
      <c r="L358" s="16">
        <v>94</v>
      </c>
      <c r="M358" s="16">
        <v>1.236842105263158</v>
      </c>
      <c r="N358" s="13"/>
      <c r="O358" s="13"/>
      <c r="P358" s="13"/>
      <c r="Q358" s="13"/>
      <c r="R358" s="13" t="s">
        <v>774</v>
      </c>
      <c r="S358" s="18" t="s">
        <v>2244</v>
      </c>
    </row>
    <row r="359" spans="1:19" ht="52.05" customHeight="1">
      <c r="A359" s="14" t="s">
        <v>681</v>
      </c>
      <c r="B359" s="13">
        <v>2026</v>
      </c>
      <c r="C359" s="15">
        <v>324</v>
      </c>
      <c r="D359" s="13" t="s">
        <v>851</v>
      </c>
      <c r="E359" s="13" t="s">
        <v>763</v>
      </c>
      <c r="F359" s="13" t="s">
        <v>1321</v>
      </c>
      <c r="G359" s="13" t="s">
        <v>1322</v>
      </c>
      <c r="H359" s="13">
        <v>58</v>
      </c>
      <c r="I359" s="16">
        <v>383</v>
      </c>
      <c r="J359" s="16">
        <v>396.5</v>
      </c>
      <c r="K359" s="16">
        <v>434</v>
      </c>
      <c r="L359" s="16">
        <v>71</v>
      </c>
      <c r="M359" s="16">
        <v>1.2241379310344829</v>
      </c>
      <c r="N359" s="13"/>
      <c r="O359" s="13"/>
      <c r="P359" s="13"/>
      <c r="Q359" s="13"/>
      <c r="R359" s="13" t="s">
        <v>774</v>
      </c>
      <c r="S359" s="18" t="s">
        <v>2245</v>
      </c>
    </row>
    <row r="360" spans="1:19" ht="52.05" customHeight="1">
      <c r="A360" s="14" t="s">
        <v>686</v>
      </c>
      <c r="B360" s="13">
        <v>2022</v>
      </c>
      <c r="C360" s="15"/>
      <c r="D360" s="13" t="s">
        <v>981</v>
      </c>
      <c r="E360" s="13" t="s">
        <v>969</v>
      </c>
      <c r="F360" s="13"/>
      <c r="G360" s="13" t="s">
        <v>757</v>
      </c>
      <c r="H360" s="13"/>
      <c r="I360" s="16"/>
      <c r="J360" s="16"/>
      <c r="K360" s="16"/>
      <c r="L360" s="16"/>
      <c r="M360" s="16"/>
      <c r="N360" s="13"/>
      <c r="O360" s="13"/>
      <c r="P360" s="13"/>
      <c r="Q360" s="13"/>
      <c r="R360" s="13" t="s">
        <v>774</v>
      </c>
      <c r="S360" s="18" t="s">
        <v>2246</v>
      </c>
    </row>
    <row r="361" spans="1:19" ht="52.05" customHeight="1">
      <c r="A361" s="14" t="s">
        <v>686</v>
      </c>
      <c r="B361" s="13">
        <v>2023</v>
      </c>
      <c r="C361" s="15"/>
      <c r="D361" s="13" t="s">
        <v>841</v>
      </c>
      <c r="E361" s="13" t="s">
        <v>842</v>
      </c>
      <c r="F361" s="13" t="s">
        <v>843</v>
      </c>
      <c r="G361" s="13" t="s">
        <v>761</v>
      </c>
      <c r="H361" s="13"/>
      <c r="I361" s="16"/>
      <c r="J361" s="16"/>
      <c r="K361" s="16"/>
      <c r="L361" s="16"/>
      <c r="M361" s="16"/>
      <c r="N361" s="13"/>
      <c r="O361" s="13"/>
      <c r="P361" s="13"/>
      <c r="Q361" s="13"/>
      <c r="R361" s="13" t="s">
        <v>774</v>
      </c>
      <c r="S361" s="18" t="s">
        <v>2246</v>
      </c>
    </row>
    <row r="362" spans="1:19" ht="52.05" customHeight="1">
      <c r="A362" s="14" t="s">
        <v>686</v>
      </c>
      <c r="B362" s="13">
        <v>2024</v>
      </c>
      <c r="C362" s="15">
        <v>338</v>
      </c>
      <c r="D362" s="13" t="s">
        <v>908</v>
      </c>
      <c r="E362" s="13" t="s">
        <v>763</v>
      </c>
      <c r="F362" s="13" t="s">
        <v>1323</v>
      </c>
      <c r="G362" s="13" t="s">
        <v>1324</v>
      </c>
      <c r="H362" s="13">
        <v>2</v>
      </c>
      <c r="I362" s="16">
        <v>404</v>
      </c>
      <c r="J362" s="16">
        <v>408.5</v>
      </c>
      <c r="K362" s="16">
        <v>413</v>
      </c>
      <c r="L362" s="16">
        <v>3</v>
      </c>
      <c r="M362" s="16">
        <v>1.5</v>
      </c>
      <c r="N362" s="13"/>
      <c r="O362" s="13"/>
      <c r="P362" s="13"/>
      <c r="Q362" s="13"/>
      <c r="R362" s="13" t="s">
        <v>774</v>
      </c>
      <c r="S362" s="18" t="s">
        <v>2247</v>
      </c>
    </row>
    <row r="363" spans="1:19" ht="52.05" customHeight="1">
      <c r="A363" s="14" t="s">
        <v>686</v>
      </c>
      <c r="B363" s="13">
        <v>2025</v>
      </c>
      <c r="C363" s="15">
        <v>323</v>
      </c>
      <c r="D363" s="13" t="s">
        <v>848</v>
      </c>
      <c r="E363" s="13" t="s">
        <v>763</v>
      </c>
      <c r="F363" s="13" t="s">
        <v>1325</v>
      </c>
      <c r="G363" s="13" t="s">
        <v>1326</v>
      </c>
      <c r="H363" s="13"/>
      <c r="I363" s="16"/>
      <c r="J363" s="16"/>
      <c r="K363" s="16"/>
      <c r="L363" s="16"/>
      <c r="M363" s="16"/>
      <c r="N363" s="13"/>
      <c r="O363" s="13"/>
      <c r="P363" s="13"/>
      <c r="Q363" s="13"/>
      <c r="R363" s="13" t="s">
        <v>774</v>
      </c>
      <c r="S363" s="18" t="s">
        <v>2246</v>
      </c>
    </row>
    <row r="364" spans="1:19" ht="52.05" customHeight="1">
      <c r="A364" s="14" t="s">
        <v>686</v>
      </c>
      <c r="B364" s="13">
        <v>2026</v>
      </c>
      <c r="C364" s="15">
        <v>324</v>
      </c>
      <c r="D364" s="13" t="s">
        <v>851</v>
      </c>
      <c r="E364" s="13" t="s">
        <v>763</v>
      </c>
      <c r="F364" s="13" t="s">
        <v>1327</v>
      </c>
      <c r="G364" s="13" t="s">
        <v>1328</v>
      </c>
      <c r="H364" s="13">
        <v>4</v>
      </c>
      <c r="I364" s="16">
        <v>372</v>
      </c>
      <c r="J364" s="16">
        <v>396</v>
      </c>
      <c r="K364" s="16">
        <v>404</v>
      </c>
      <c r="L364" s="16">
        <v>4</v>
      </c>
      <c r="M364" s="16">
        <v>1</v>
      </c>
      <c r="N364" s="13"/>
      <c r="O364" s="13"/>
      <c r="P364" s="13"/>
      <c r="Q364" s="13"/>
      <c r="R364" s="13" t="s">
        <v>774</v>
      </c>
      <c r="S364" s="18" t="s">
        <v>2248</v>
      </c>
    </row>
    <row r="365" spans="1:19" ht="52.05" customHeight="1">
      <c r="A365" s="14" t="s">
        <v>689</v>
      </c>
      <c r="B365" s="13">
        <v>2022</v>
      </c>
      <c r="C365" s="15"/>
      <c r="D365" s="13" t="s">
        <v>952</v>
      </c>
      <c r="E365" s="13" t="s">
        <v>755</v>
      </c>
      <c r="F365" s="13" t="s">
        <v>952</v>
      </c>
      <c r="G365" s="13" t="s">
        <v>757</v>
      </c>
      <c r="H365" s="13"/>
      <c r="I365" s="16"/>
      <c r="J365" s="16"/>
      <c r="K365" s="16"/>
      <c r="L365" s="16"/>
      <c r="M365" s="16"/>
      <c r="N365" s="13"/>
      <c r="O365" s="13"/>
      <c r="P365" s="13"/>
      <c r="Q365" s="13"/>
      <c r="R365" s="13" t="s">
        <v>774</v>
      </c>
      <c r="S365" s="18" t="s">
        <v>2072</v>
      </c>
    </row>
    <row r="366" spans="1:19" ht="52.05" customHeight="1">
      <c r="A366" s="14" t="s">
        <v>689</v>
      </c>
      <c r="B366" s="13">
        <v>2023</v>
      </c>
      <c r="C366" s="15"/>
      <c r="D366" s="13" t="s">
        <v>841</v>
      </c>
      <c r="E366" s="13" t="s">
        <v>842</v>
      </c>
      <c r="F366" s="13" t="s">
        <v>843</v>
      </c>
      <c r="G366" s="13" t="s">
        <v>761</v>
      </c>
      <c r="H366" s="13">
        <v>0</v>
      </c>
      <c r="I366" s="16"/>
      <c r="J366" s="16"/>
      <c r="K366" s="16"/>
      <c r="L366" s="16">
        <v>0</v>
      </c>
      <c r="M366" s="16"/>
      <c r="N366" s="13"/>
      <c r="O366" s="13"/>
      <c r="P366" s="13"/>
      <c r="Q366" s="13"/>
      <c r="R366" s="13" t="s">
        <v>774</v>
      </c>
      <c r="S366" s="18" t="s">
        <v>2072</v>
      </c>
    </row>
    <row r="367" spans="1:19" ht="52.05" customHeight="1">
      <c r="A367" s="14" t="s">
        <v>689</v>
      </c>
      <c r="B367" s="13">
        <v>2024</v>
      </c>
      <c r="C367" s="15">
        <v>338</v>
      </c>
      <c r="D367" s="13" t="s">
        <v>908</v>
      </c>
      <c r="E367" s="13" t="s">
        <v>763</v>
      </c>
      <c r="F367" s="13" t="s">
        <v>1329</v>
      </c>
      <c r="G367" s="13" t="s">
        <v>1330</v>
      </c>
      <c r="H367" s="13">
        <v>1</v>
      </c>
      <c r="I367" s="16">
        <v>380</v>
      </c>
      <c r="J367" s="16">
        <v>380</v>
      </c>
      <c r="K367" s="16">
        <v>380</v>
      </c>
      <c r="L367" s="16">
        <v>1</v>
      </c>
      <c r="M367" s="16">
        <v>1</v>
      </c>
      <c r="N367" s="13"/>
      <c r="O367" s="13"/>
      <c r="P367" s="13"/>
      <c r="Q367" s="13"/>
      <c r="R367" s="13" t="s">
        <v>774</v>
      </c>
      <c r="S367" s="18" t="s">
        <v>2073</v>
      </c>
    </row>
    <row r="368" spans="1:19" ht="52.05" customHeight="1">
      <c r="A368" s="14" t="s">
        <v>689</v>
      </c>
      <c r="B368" s="13">
        <v>2025</v>
      </c>
      <c r="C368" s="15">
        <v>323</v>
      </c>
      <c r="D368" s="13" t="s">
        <v>848</v>
      </c>
      <c r="E368" s="13" t="s">
        <v>763</v>
      </c>
      <c r="F368" s="13" t="s">
        <v>1331</v>
      </c>
      <c r="G368" s="13" t="s">
        <v>1332</v>
      </c>
      <c r="H368" s="13">
        <v>4</v>
      </c>
      <c r="I368" s="16">
        <v>341</v>
      </c>
      <c r="J368" s="16">
        <v>351</v>
      </c>
      <c r="K368" s="16">
        <v>376</v>
      </c>
      <c r="L368" s="16">
        <v>4</v>
      </c>
      <c r="M368" s="16">
        <v>1</v>
      </c>
      <c r="N368" s="13"/>
      <c r="O368" s="13"/>
      <c r="P368" s="13"/>
      <c r="Q368" s="13"/>
      <c r="R368" s="13" t="s">
        <v>774</v>
      </c>
      <c r="S368" s="18" t="s">
        <v>2074</v>
      </c>
    </row>
    <row r="369" spans="1:19" ht="52.05" customHeight="1">
      <c r="A369" s="14" t="s">
        <v>689</v>
      </c>
      <c r="B369" s="13">
        <v>2026</v>
      </c>
      <c r="C369" s="15">
        <v>325</v>
      </c>
      <c r="D369" s="13" t="s">
        <v>1333</v>
      </c>
      <c r="E369" s="13" t="s">
        <v>35</v>
      </c>
      <c r="F369" s="13" t="s">
        <v>1334</v>
      </c>
      <c r="G369" s="13" t="s">
        <v>1335</v>
      </c>
      <c r="H369" s="13">
        <v>11</v>
      </c>
      <c r="I369" s="16">
        <v>327</v>
      </c>
      <c r="J369" s="16">
        <v>354</v>
      </c>
      <c r="K369" s="16">
        <v>377</v>
      </c>
      <c r="L369" s="16">
        <v>11</v>
      </c>
      <c r="M369" s="16">
        <v>1</v>
      </c>
      <c r="N369" s="13"/>
      <c r="O369" s="13"/>
      <c r="P369" s="13"/>
      <c r="Q369" s="13"/>
      <c r="R369" s="13" t="s">
        <v>774</v>
      </c>
      <c r="S369" s="18" t="s">
        <v>2075</v>
      </c>
    </row>
    <row r="370" spans="1:19" ht="52.05" customHeight="1">
      <c r="A370" s="14" t="s">
        <v>697</v>
      </c>
      <c r="B370" s="13">
        <v>2022</v>
      </c>
      <c r="C370" s="15">
        <v>350</v>
      </c>
      <c r="D370" s="13" t="s">
        <v>1250</v>
      </c>
      <c r="E370" s="13" t="s">
        <v>755</v>
      </c>
      <c r="F370" s="13" t="s">
        <v>756</v>
      </c>
      <c r="G370" s="13" t="s">
        <v>757</v>
      </c>
      <c r="H370" s="13">
        <v>33</v>
      </c>
      <c r="I370" s="16"/>
      <c r="J370" s="16"/>
      <c r="K370" s="16"/>
      <c r="L370" s="16">
        <v>60</v>
      </c>
      <c r="M370" s="16">
        <v>1.8181818181818179</v>
      </c>
      <c r="N370" s="13"/>
      <c r="O370" s="13"/>
      <c r="P370" s="13"/>
      <c r="Q370" s="13"/>
      <c r="R370" s="13" t="s">
        <v>774</v>
      </c>
      <c r="S370" s="18" t="s">
        <v>2263</v>
      </c>
    </row>
    <row r="371" spans="1:19" ht="52.05" customHeight="1">
      <c r="A371" s="14" t="s">
        <v>697</v>
      </c>
      <c r="B371" s="13">
        <v>2023</v>
      </c>
      <c r="C371" s="15">
        <v>336</v>
      </c>
      <c r="D371" s="18" t="s">
        <v>2261</v>
      </c>
      <c r="E371" s="18" t="s">
        <v>2078</v>
      </c>
      <c r="F371" s="13" t="s">
        <v>843</v>
      </c>
      <c r="G371" s="13" t="s">
        <v>761</v>
      </c>
      <c r="H371" s="13">
        <v>29</v>
      </c>
      <c r="I371" s="16">
        <v>336</v>
      </c>
      <c r="J371" s="16"/>
      <c r="K371" s="16"/>
      <c r="L371" s="16">
        <v>29</v>
      </c>
      <c r="M371" s="16">
        <v>1</v>
      </c>
      <c r="N371" s="13"/>
      <c r="O371" s="13"/>
      <c r="P371" s="13"/>
      <c r="Q371" s="13"/>
      <c r="R371" s="13" t="s">
        <v>774</v>
      </c>
      <c r="S371" s="18" t="s">
        <v>2263</v>
      </c>
    </row>
    <row r="372" spans="1:19" ht="52.05" customHeight="1">
      <c r="A372" s="14" t="s">
        <v>697</v>
      </c>
      <c r="B372" s="13">
        <v>2024</v>
      </c>
      <c r="C372" s="15">
        <v>328</v>
      </c>
      <c r="D372" s="13" t="s">
        <v>1252</v>
      </c>
      <c r="E372" s="13" t="s">
        <v>763</v>
      </c>
      <c r="F372" s="13" t="s">
        <v>1336</v>
      </c>
      <c r="G372" s="13" t="s">
        <v>1337</v>
      </c>
      <c r="H372" s="13">
        <v>37</v>
      </c>
      <c r="I372" s="16">
        <v>333</v>
      </c>
      <c r="J372" s="16">
        <v>361</v>
      </c>
      <c r="K372" s="16">
        <v>425</v>
      </c>
      <c r="L372" s="16">
        <v>47</v>
      </c>
      <c r="M372" s="16">
        <v>1.2702702702702702</v>
      </c>
      <c r="N372" s="13"/>
      <c r="O372" s="13"/>
      <c r="P372" s="13"/>
      <c r="Q372" s="13"/>
      <c r="R372" s="13" t="s">
        <v>774</v>
      </c>
      <c r="S372" s="18" t="s">
        <v>2264</v>
      </c>
    </row>
    <row r="373" spans="1:19" ht="52.05" customHeight="1">
      <c r="A373" s="14" t="s">
        <v>697</v>
      </c>
      <c r="B373" s="13">
        <v>2025</v>
      </c>
      <c r="C373" s="15">
        <v>313</v>
      </c>
      <c r="D373" s="13" t="s">
        <v>1255</v>
      </c>
      <c r="E373" s="13" t="s">
        <v>763</v>
      </c>
      <c r="F373" s="13" t="s">
        <v>1338</v>
      </c>
      <c r="G373" s="13" t="s">
        <v>1339</v>
      </c>
      <c r="H373" s="13">
        <v>46</v>
      </c>
      <c r="I373" s="16">
        <v>314</v>
      </c>
      <c r="J373" s="16">
        <v>357</v>
      </c>
      <c r="K373" s="16">
        <v>411</v>
      </c>
      <c r="L373" s="16">
        <v>63</v>
      </c>
      <c r="M373" s="16">
        <v>1.3695652173913044</v>
      </c>
      <c r="N373" s="13"/>
      <c r="O373" s="13"/>
      <c r="P373" s="13"/>
      <c r="Q373" s="13"/>
      <c r="R373" s="13" t="s">
        <v>774</v>
      </c>
      <c r="S373" s="18" t="s">
        <v>2265</v>
      </c>
    </row>
    <row r="374" spans="1:19" ht="52.05" customHeight="1">
      <c r="A374" s="14" t="s">
        <v>697</v>
      </c>
      <c r="B374" s="13">
        <v>2026</v>
      </c>
      <c r="C374" s="15">
        <v>314</v>
      </c>
      <c r="D374" s="13" t="s">
        <v>1258</v>
      </c>
      <c r="E374" s="13" t="s">
        <v>763</v>
      </c>
      <c r="F374" s="13" t="s">
        <v>1340</v>
      </c>
      <c r="G374" s="13" t="s">
        <v>1341</v>
      </c>
      <c r="H374" s="13">
        <v>48</v>
      </c>
      <c r="I374" s="16">
        <v>323</v>
      </c>
      <c r="J374" s="16">
        <v>359.5</v>
      </c>
      <c r="K374" s="16">
        <v>430</v>
      </c>
      <c r="L374" s="16">
        <v>73</v>
      </c>
      <c r="M374" s="16">
        <v>1.5208333333333333</v>
      </c>
      <c r="N374" s="13"/>
      <c r="O374" s="13"/>
      <c r="P374" s="13"/>
      <c r="Q374" s="13"/>
      <c r="R374" s="13" t="s">
        <v>774</v>
      </c>
      <c r="S374" s="18" t="s">
        <v>2266</v>
      </c>
    </row>
    <row r="375" spans="1:19" ht="52.05" customHeight="1">
      <c r="A375" s="14" t="s">
        <v>703</v>
      </c>
      <c r="B375" s="13">
        <v>2022</v>
      </c>
      <c r="C375" s="15">
        <v>350</v>
      </c>
      <c r="D375" s="13" t="s">
        <v>1250</v>
      </c>
      <c r="E375" s="13" t="s">
        <v>755</v>
      </c>
      <c r="F375" s="13" t="s">
        <v>756</v>
      </c>
      <c r="G375" s="13" t="s">
        <v>757</v>
      </c>
      <c r="H375" s="13">
        <v>50</v>
      </c>
      <c r="I375" s="16"/>
      <c r="J375" s="16"/>
      <c r="K375" s="16"/>
      <c r="L375" s="16">
        <v>54</v>
      </c>
      <c r="M375" s="16">
        <v>1.08</v>
      </c>
      <c r="N375" s="13"/>
      <c r="O375" s="13"/>
      <c r="P375" s="13"/>
      <c r="Q375" s="13"/>
      <c r="R375" s="13" t="s">
        <v>774</v>
      </c>
      <c r="S375" s="18" t="s">
        <v>2267</v>
      </c>
    </row>
    <row r="376" spans="1:19" ht="52.05" customHeight="1">
      <c r="A376" s="14" t="s">
        <v>703</v>
      </c>
      <c r="B376" s="13">
        <v>2023</v>
      </c>
      <c r="C376" s="15">
        <v>338</v>
      </c>
      <c r="D376" s="18" t="s">
        <v>2268</v>
      </c>
      <c r="E376" s="18" t="s">
        <v>2078</v>
      </c>
      <c r="F376" s="13" t="s">
        <v>843</v>
      </c>
      <c r="G376" s="13" t="s">
        <v>761</v>
      </c>
      <c r="H376" s="13">
        <v>50</v>
      </c>
      <c r="I376" s="16">
        <v>339</v>
      </c>
      <c r="J376" s="16"/>
      <c r="K376" s="16"/>
      <c r="L376" s="16">
        <v>60</v>
      </c>
      <c r="M376" s="16">
        <v>1.2</v>
      </c>
      <c r="N376" s="13"/>
      <c r="O376" s="13"/>
      <c r="P376" s="13"/>
      <c r="Q376" s="13"/>
      <c r="R376" s="13" t="s">
        <v>774</v>
      </c>
      <c r="S376" s="18" t="s">
        <v>2267</v>
      </c>
    </row>
    <row r="377" spans="1:19" ht="52.05" customHeight="1">
      <c r="A377" s="14" t="s">
        <v>703</v>
      </c>
      <c r="B377" s="13">
        <v>2024</v>
      </c>
      <c r="C377" s="15">
        <v>328</v>
      </c>
      <c r="D377" s="13" t="s">
        <v>1252</v>
      </c>
      <c r="E377" s="13" t="s">
        <v>763</v>
      </c>
      <c r="F377" s="13" t="s">
        <v>1342</v>
      </c>
      <c r="G377" s="13" t="s">
        <v>1343</v>
      </c>
      <c r="H377" s="13">
        <v>42</v>
      </c>
      <c r="I377" s="16">
        <v>328</v>
      </c>
      <c r="J377" s="16"/>
      <c r="K377" s="16"/>
      <c r="L377" s="16">
        <v>42</v>
      </c>
      <c r="M377" s="16">
        <v>1</v>
      </c>
      <c r="N377" s="13"/>
      <c r="O377" s="13"/>
      <c r="P377" s="13"/>
      <c r="Q377" s="13"/>
      <c r="R377" s="13" t="s">
        <v>774</v>
      </c>
      <c r="S377" s="18" t="s">
        <v>2267</v>
      </c>
    </row>
    <row r="378" spans="1:19" ht="52.05" customHeight="1">
      <c r="A378" s="14" t="s">
        <v>703</v>
      </c>
      <c r="B378" s="13">
        <v>2025</v>
      </c>
      <c r="C378" s="15">
        <v>313</v>
      </c>
      <c r="D378" s="13" t="s">
        <v>1255</v>
      </c>
      <c r="E378" s="13" t="s">
        <v>763</v>
      </c>
      <c r="F378" s="13" t="s">
        <v>1344</v>
      </c>
      <c r="G378" s="13" t="s">
        <v>1345</v>
      </c>
      <c r="H378" s="13">
        <v>36</v>
      </c>
      <c r="I378" s="16">
        <v>314</v>
      </c>
      <c r="J378" s="16"/>
      <c r="K378" s="16"/>
      <c r="L378" s="16">
        <v>36</v>
      </c>
      <c r="M378" s="16">
        <v>1</v>
      </c>
      <c r="N378" s="13"/>
      <c r="O378" s="13"/>
      <c r="P378" s="13"/>
      <c r="Q378" s="13"/>
      <c r="R378" s="13" t="s">
        <v>774</v>
      </c>
      <c r="S378" s="18" t="s">
        <v>2267</v>
      </c>
    </row>
    <row r="379" spans="1:19" ht="52.05" customHeight="1">
      <c r="A379" s="14" t="s">
        <v>703</v>
      </c>
      <c r="B379" s="13">
        <v>2026</v>
      </c>
      <c r="C379" s="15">
        <v>314</v>
      </c>
      <c r="D379" s="13" t="s">
        <v>1258</v>
      </c>
      <c r="E379" s="13" t="s">
        <v>763</v>
      </c>
      <c r="F379" s="13" t="s">
        <v>1346</v>
      </c>
      <c r="G379" s="13" t="s">
        <v>1347</v>
      </c>
      <c r="H379" s="13">
        <v>44</v>
      </c>
      <c r="I379" s="16">
        <v>315</v>
      </c>
      <c r="J379" s="16">
        <v>365.5</v>
      </c>
      <c r="K379" s="16">
        <v>415</v>
      </c>
      <c r="L379" s="16">
        <v>46</v>
      </c>
      <c r="M379" s="16">
        <v>1.0454545454545454</v>
      </c>
      <c r="N379" s="13"/>
      <c r="O379" s="13"/>
      <c r="P379" s="13"/>
      <c r="Q379" s="13"/>
      <c r="R379" s="13" t="s">
        <v>774</v>
      </c>
      <c r="S379" s="18" t="s">
        <v>2269</v>
      </c>
    </row>
    <row r="380" spans="1:19" ht="52.05" customHeight="1">
      <c r="A380" s="14" t="s">
        <v>709</v>
      </c>
      <c r="B380" s="13">
        <v>2022</v>
      </c>
      <c r="C380" s="15"/>
      <c r="D380" s="13" t="s">
        <v>981</v>
      </c>
      <c r="E380" s="13" t="s">
        <v>969</v>
      </c>
      <c r="F380" s="13"/>
      <c r="G380" s="13" t="s">
        <v>757</v>
      </c>
      <c r="H380" s="13"/>
      <c r="I380" s="16"/>
      <c r="J380" s="16"/>
      <c r="K380" s="16"/>
      <c r="L380" s="16"/>
      <c r="M380" s="16"/>
      <c r="N380" s="13"/>
      <c r="O380" s="13"/>
      <c r="P380" s="13"/>
      <c r="Q380" s="13"/>
      <c r="R380" s="13" t="s">
        <v>774</v>
      </c>
      <c r="S380" s="18" t="s">
        <v>2249</v>
      </c>
    </row>
    <row r="381" spans="1:19" ht="52.05" customHeight="1">
      <c r="A381" s="14" t="s">
        <v>709</v>
      </c>
      <c r="B381" s="13">
        <v>2023</v>
      </c>
      <c r="C381" s="15"/>
      <c r="D381" s="13" t="s">
        <v>841</v>
      </c>
      <c r="E381" s="13" t="s">
        <v>842</v>
      </c>
      <c r="F381" s="13" t="s">
        <v>843</v>
      </c>
      <c r="G381" s="13" t="s">
        <v>761</v>
      </c>
      <c r="H381" s="13"/>
      <c r="I381" s="16"/>
      <c r="J381" s="16"/>
      <c r="K381" s="16"/>
      <c r="L381" s="16"/>
      <c r="M381" s="16"/>
      <c r="N381" s="13"/>
      <c r="O381" s="13"/>
      <c r="P381" s="13"/>
      <c r="Q381" s="13"/>
      <c r="R381" s="13" t="s">
        <v>774</v>
      </c>
      <c r="S381" s="18" t="s">
        <v>2249</v>
      </c>
    </row>
    <row r="382" spans="1:19" ht="52.05" customHeight="1">
      <c r="A382" s="14" t="s">
        <v>709</v>
      </c>
      <c r="B382" s="13">
        <v>2024</v>
      </c>
      <c r="C382" s="15"/>
      <c r="D382" s="13" t="s">
        <v>968</v>
      </c>
      <c r="E382" s="13" t="s">
        <v>969</v>
      </c>
      <c r="F382" s="13"/>
      <c r="G382" s="13" t="s">
        <v>970</v>
      </c>
      <c r="H382" s="13"/>
      <c r="I382" s="16"/>
      <c r="J382" s="16"/>
      <c r="K382" s="16"/>
      <c r="L382" s="16"/>
      <c r="M382" s="16"/>
      <c r="N382" s="13"/>
      <c r="O382" s="13"/>
      <c r="P382" s="13"/>
      <c r="Q382" s="13"/>
      <c r="R382" s="13" t="s">
        <v>774</v>
      </c>
      <c r="S382" s="18" t="s">
        <v>2249</v>
      </c>
    </row>
    <row r="383" spans="1:19" ht="52.05" customHeight="1">
      <c r="A383" s="14" t="s">
        <v>709</v>
      </c>
      <c r="B383" s="13">
        <v>2025</v>
      </c>
      <c r="C383" s="15">
        <v>323</v>
      </c>
      <c r="D383" s="13" t="s">
        <v>848</v>
      </c>
      <c r="E383" s="13" t="s">
        <v>763</v>
      </c>
      <c r="F383" s="13" t="s">
        <v>1348</v>
      </c>
      <c r="G383" s="13" t="s">
        <v>1349</v>
      </c>
      <c r="H383" s="13">
        <v>3</v>
      </c>
      <c r="I383" s="16">
        <v>326</v>
      </c>
      <c r="J383" s="16"/>
      <c r="K383" s="16"/>
      <c r="L383" s="16">
        <v>3</v>
      </c>
      <c r="M383" s="16">
        <v>1</v>
      </c>
      <c r="N383" s="13"/>
      <c r="O383" s="13"/>
      <c r="P383" s="13"/>
      <c r="Q383" s="13"/>
      <c r="R383" s="13" t="s">
        <v>774</v>
      </c>
      <c r="S383" s="18" t="s">
        <v>2249</v>
      </c>
    </row>
    <row r="384" spans="1:19" ht="52.05" customHeight="1">
      <c r="A384" s="14" t="s">
        <v>709</v>
      </c>
      <c r="B384" s="13">
        <v>2026</v>
      </c>
      <c r="C384" s="15">
        <v>324</v>
      </c>
      <c r="D384" s="13" t="s">
        <v>851</v>
      </c>
      <c r="E384" s="13" t="s">
        <v>763</v>
      </c>
      <c r="F384" s="13" t="s">
        <v>1350</v>
      </c>
      <c r="G384" s="13" t="s">
        <v>1351</v>
      </c>
      <c r="H384" s="13">
        <v>4</v>
      </c>
      <c r="I384" s="16">
        <v>345</v>
      </c>
      <c r="J384" s="16">
        <v>353</v>
      </c>
      <c r="K384" s="16">
        <v>356</v>
      </c>
      <c r="L384" s="16">
        <v>4</v>
      </c>
      <c r="M384" s="16">
        <v>1</v>
      </c>
      <c r="N384" s="13"/>
      <c r="O384" s="13"/>
      <c r="P384" s="13"/>
      <c r="Q384" s="13"/>
      <c r="R384" s="13" t="s">
        <v>774</v>
      </c>
      <c r="S384" s="18" t="s">
        <v>2250</v>
      </c>
    </row>
    <row r="385" spans="1:19" ht="52.05" customHeight="1">
      <c r="A385" s="14" t="s">
        <v>715</v>
      </c>
      <c r="B385" s="13">
        <v>2022</v>
      </c>
      <c r="C385" s="15"/>
      <c r="D385" s="13" t="s">
        <v>981</v>
      </c>
      <c r="E385" s="13" t="s">
        <v>969</v>
      </c>
      <c r="F385" s="13"/>
      <c r="G385" s="13" t="s">
        <v>757</v>
      </c>
      <c r="H385" s="13"/>
      <c r="I385" s="16"/>
      <c r="J385" s="16"/>
      <c r="K385" s="16"/>
      <c r="L385" s="16"/>
      <c r="M385" s="16"/>
      <c r="N385" s="13"/>
      <c r="O385" s="13"/>
      <c r="P385" s="13"/>
      <c r="Q385" s="13"/>
      <c r="R385" s="13" t="s">
        <v>774</v>
      </c>
      <c r="S385" s="18" t="s">
        <v>2251</v>
      </c>
    </row>
    <row r="386" spans="1:19" ht="52.05" customHeight="1">
      <c r="A386" s="14" t="s">
        <v>715</v>
      </c>
      <c r="B386" s="13">
        <v>2023</v>
      </c>
      <c r="C386" s="15"/>
      <c r="D386" s="13" t="s">
        <v>841</v>
      </c>
      <c r="E386" s="13" t="s">
        <v>842</v>
      </c>
      <c r="F386" s="13" t="s">
        <v>843</v>
      </c>
      <c r="G386" s="13" t="s">
        <v>761</v>
      </c>
      <c r="H386" s="13"/>
      <c r="I386" s="16"/>
      <c r="J386" s="16"/>
      <c r="K386" s="16"/>
      <c r="L386" s="16"/>
      <c r="M386" s="16"/>
      <c r="N386" s="13"/>
      <c r="O386" s="13"/>
      <c r="P386" s="13"/>
      <c r="Q386" s="13"/>
      <c r="R386" s="13" t="s">
        <v>774</v>
      </c>
      <c r="S386" s="18" t="s">
        <v>2251</v>
      </c>
    </row>
    <row r="387" spans="1:19" ht="52.05" customHeight="1">
      <c r="A387" s="14" t="s">
        <v>715</v>
      </c>
      <c r="B387" s="13">
        <v>2024</v>
      </c>
      <c r="C387" s="15">
        <v>338</v>
      </c>
      <c r="D387" s="13" t="s">
        <v>908</v>
      </c>
      <c r="E387" s="13" t="s">
        <v>763</v>
      </c>
      <c r="F387" s="13" t="s">
        <v>1352</v>
      </c>
      <c r="G387" s="13" t="s">
        <v>1353</v>
      </c>
      <c r="H387" s="13">
        <v>4</v>
      </c>
      <c r="I387" s="16">
        <v>340</v>
      </c>
      <c r="J387" s="16">
        <v>366.5</v>
      </c>
      <c r="K387" s="16">
        <v>394</v>
      </c>
      <c r="L387" s="16">
        <v>4</v>
      </c>
      <c r="M387" s="16">
        <v>1</v>
      </c>
      <c r="N387" s="13"/>
      <c r="O387" s="13"/>
      <c r="P387" s="13"/>
      <c r="Q387" s="13"/>
      <c r="R387" s="13" t="s">
        <v>774</v>
      </c>
      <c r="S387" s="18" t="s">
        <v>2252</v>
      </c>
    </row>
    <row r="388" spans="1:19" ht="52.05" customHeight="1">
      <c r="A388" s="14" t="s">
        <v>715</v>
      </c>
      <c r="B388" s="13">
        <v>2025</v>
      </c>
      <c r="C388" s="15">
        <v>323</v>
      </c>
      <c r="D388" s="13" t="s">
        <v>848</v>
      </c>
      <c r="E388" s="13" t="s">
        <v>763</v>
      </c>
      <c r="F388" s="13" t="s">
        <v>1354</v>
      </c>
      <c r="G388" s="13" t="s">
        <v>1355</v>
      </c>
      <c r="H388" s="13">
        <v>10</v>
      </c>
      <c r="I388" s="16">
        <v>327</v>
      </c>
      <c r="J388" s="16">
        <v>352</v>
      </c>
      <c r="K388" s="16">
        <v>412</v>
      </c>
      <c r="L388" s="16">
        <v>10</v>
      </c>
      <c r="M388" s="16">
        <v>1</v>
      </c>
      <c r="N388" s="13"/>
      <c r="O388" s="13"/>
      <c r="P388" s="13"/>
      <c r="Q388" s="13"/>
      <c r="R388" s="13" t="s">
        <v>774</v>
      </c>
      <c r="S388" s="18" t="s">
        <v>2253</v>
      </c>
    </row>
    <row r="389" spans="1:19" ht="52.05" customHeight="1">
      <c r="A389" s="14" t="s">
        <v>715</v>
      </c>
      <c r="B389" s="13">
        <v>2026</v>
      </c>
      <c r="C389" s="15">
        <v>324</v>
      </c>
      <c r="D389" s="13" t="s">
        <v>851</v>
      </c>
      <c r="E389" s="13" t="s">
        <v>763</v>
      </c>
      <c r="F389" s="13" t="s">
        <v>1356</v>
      </c>
      <c r="G389" s="13" t="s">
        <v>1357</v>
      </c>
      <c r="H389" s="13">
        <v>21</v>
      </c>
      <c r="I389" s="16">
        <v>326</v>
      </c>
      <c r="J389" s="16">
        <v>356</v>
      </c>
      <c r="K389" s="16">
        <v>402</v>
      </c>
      <c r="L389" s="16">
        <v>28</v>
      </c>
      <c r="M389" s="16">
        <v>1.3333333333333333</v>
      </c>
      <c r="N389" s="13"/>
      <c r="O389" s="13"/>
      <c r="P389" s="13"/>
      <c r="Q389" s="13"/>
      <c r="R389" s="13" t="s">
        <v>774</v>
      </c>
      <c r="S389" s="18" t="s">
        <v>2254</v>
      </c>
    </row>
    <row r="390" spans="1:19" ht="52.05" customHeight="1">
      <c r="A390" s="14" t="s">
        <v>717</v>
      </c>
      <c r="B390" s="13">
        <v>2022</v>
      </c>
      <c r="C390" s="15">
        <v>350</v>
      </c>
      <c r="D390" s="13" t="s">
        <v>1250</v>
      </c>
      <c r="E390" s="13" t="s">
        <v>755</v>
      </c>
      <c r="F390" s="13" t="s">
        <v>756</v>
      </c>
      <c r="G390" s="13" t="s">
        <v>757</v>
      </c>
      <c r="H390" s="13">
        <v>4</v>
      </c>
      <c r="I390" s="16"/>
      <c r="J390" s="16">
        <v>267</v>
      </c>
      <c r="K390" s="16">
        <v>287</v>
      </c>
      <c r="L390" s="16">
        <v>8</v>
      </c>
      <c r="M390" s="16">
        <v>2</v>
      </c>
      <c r="N390" s="13"/>
      <c r="O390" s="13"/>
      <c r="P390" s="13"/>
      <c r="Q390" s="13"/>
      <c r="R390" s="13" t="s">
        <v>774</v>
      </c>
      <c r="S390" s="18" t="s">
        <v>2270</v>
      </c>
    </row>
    <row r="391" spans="1:19" ht="52.05" customHeight="1">
      <c r="A391" s="14" t="s">
        <v>717</v>
      </c>
      <c r="B391" s="13">
        <v>2023</v>
      </c>
      <c r="C391" s="15">
        <v>336</v>
      </c>
      <c r="D391" s="18" t="s">
        <v>2261</v>
      </c>
      <c r="E391" s="18" t="s">
        <v>2078</v>
      </c>
      <c r="F391" s="13" t="s">
        <v>843</v>
      </c>
      <c r="G391" s="13" t="s">
        <v>761</v>
      </c>
      <c r="H391" s="13">
        <v>10</v>
      </c>
      <c r="I391" s="16">
        <v>336</v>
      </c>
      <c r="J391" s="16"/>
      <c r="K391" s="16"/>
      <c r="L391" s="16">
        <v>10</v>
      </c>
      <c r="M391" s="16">
        <v>1</v>
      </c>
      <c r="N391" s="13"/>
      <c r="O391" s="13"/>
      <c r="P391" s="13"/>
      <c r="Q391" s="13"/>
      <c r="R391" s="13" t="s">
        <v>774</v>
      </c>
      <c r="S391" s="18" t="s">
        <v>2271</v>
      </c>
    </row>
    <row r="392" spans="1:19" ht="52.05" customHeight="1">
      <c r="A392" s="14" t="s">
        <v>717</v>
      </c>
      <c r="B392" s="13">
        <v>2024</v>
      </c>
      <c r="C392" s="15">
        <v>328</v>
      </c>
      <c r="D392" s="13" t="s">
        <v>1252</v>
      </c>
      <c r="E392" s="13" t="s">
        <v>763</v>
      </c>
      <c r="F392" s="13" t="s">
        <v>1358</v>
      </c>
      <c r="G392" s="13" t="s">
        <v>1359</v>
      </c>
      <c r="H392" s="13">
        <v>9</v>
      </c>
      <c r="I392" s="16">
        <v>329</v>
      </c>
      <c r="J392" s="16"/>
      <c r="K392" s="16"/>
      <c r="L392" s="16">
        <v>9</v>
      </c>
      <c r="M392" s="16">
        <v>1</v>
      </c>
      <c r="N392" s="13"/>
      <c r="O392" s="13"/>
      <c r="P392" s="13"/>
      <c r="Q392" s="13"/>
      <c r="R392" s="13" t="s">
        <v>774</v>
      </c>
      <c r="S392" s="18" t="s">
        <v>2271</v>
      </c>
    </row>
    <row r="393" spans="1:19" ht="52.05" customHeight="1">
      <c r="A393" s="14" t="s">
        <v>717</v>
      </c>
      <c r="B393" s="13">
        <v>2025</v>
      </c>
      <c r="C393" s="15">
        <v>313</v>
      </c>
      <c r="D393" s="13" t="s">
        <v>1255</v>
      </c>
      <c r="E393" s="13" t="s">
        <v>763</v>
      </c>
      <c r="F393" s="13" t="s">
        <v>1360</v>
      </c>
      <c r="G393" s="13" t="s">
        <v>1361</v>
      </c>
      <c r="H393" s="13">
        <v>20</v>
      </c>
      <c r="I393" s="16">
        <v>313</v>
      </c>
      <c r="J393" s="16"/>
      <c r="K393" s="16"/>
      <c r="L393" s="16">
        <v>21</v>
      </c>
      <c r="M393" s="16">
        <v>1.05</v>
      </c>
      <c r="N393" s="13"/>
      <c r="O393" s="13"/>
      <c r="P393" s="13"/>
      <c r="Q393" s="13"/>
      <c r="R393" s="13" t="s">
        <v>774</v>
      </c>
      <c r="S393" s="18" t="s">
        <v>2271</v>
      </c>
    </row>
    <row r="394" spans="1:19" ht="52.05" customHeight="1">
      <c r="A394" s="14" t="s">
        <v>717</v>
      </c>
      <c r="B394" s="13">
        <v>2026</v>
      </c>
      <c r="C394" s="15">
        <v>314</v>
      </c>
      <c r="D394" s="13" t="s">
        <v>1258</v>
      </c>
      <c r="E394" s="13" t="s">
        <v>763</v>
      </c>
      <c r="F394" s="13" t="s">
        <v>1362</v>
      </c>
      <c r="G394" s="13" t="s">
        <v>1363</v>
      </c>
      <c r="H394" s="13">
        <v>46</v>
      </c>
      <c r="I394" s="16"/>
      <c r="J394" s="16"/>
      <c r="K394" s="16"/>
      <c r="L394" s="16">
        <v>46</v>
      </c>
      <c r="M394" s="16">
        <v>1</v>
      </c>
      <c r="N394" s="13"/>
      <c r="O394" s="13"/>
      <c r="P394" s="13"/>
      <c r="Q394" s="13"/>
      <c r="R394" s="13" t="s">
        <v>774</v>
      </c>
      <c r="S394" s="18" t="s">
        <v>2271</v>
      </c>
    </row>
    <row r="395" spans="1:19" ht="52.05" customHeight="1">
      <c r="A395" s="14" t="s">
        <v>725</v>
      </c>
      <c r="B395" s="13">
        <v>2022</v>
      </c>
      <c r="C395" s="15">
        <v>360</v>
      </c>
      <c r="D395" s="13" t="s">
        <v>865</v>
      </c>
      <c r="E395" s="13" t="s">
        <v>755</v>
      </c>
      <c r="F395" s="13" t="s">
        <v>756</v>
      </c>
      <c r="G395" s="13" t="s">
        <v>757</v>
      </c>
      <c r="H395" s="13">
        <v>4</v>
      </c>
      <c r="I395" s="16"/>
      <c r="J395" s="16"/>
      <c r="K395" s="16"/>
      <c r="L395" s="16">
        <v>4</v>
      </c>
      <c r="M395" s="16">
        <v>1</v>
      </c>
      <c r="N395" s="13"/>
      <c r="O395" s="13"/>
      <c r="P395" s="13"/>
      <c r="Q395" s="13"/>
      <c r="R395" s="13" t="s">
        <v>774</v>
      </c>
      <c r="S395" s="18" t="s">
        <v>2255</v>
      </c>
    </row>
    <row r="396" spans="1:19" ht="52.05" customHeight="1">
      <c r="A396" s="14" t="s">
        <v>725</v>
      </c>
      <c r="B396" s="13">
        <v>2023</v>
      </c>
      <c r="C396" s="15">
        <v>378</v>
      </c>
      <c r="D396" s="18" t="s">
        <v>2256</v>
      </c>
      <c r="E396" s="18" t="s">
        <v>2078</v>
      </c>
      <c r="F396" s="13" t="s">
        <v>843</v>
      </c>
      <c r="G396" s="13" t="s">
        <v>761</v>
      </c>
      <c r="H396" s="13">
        <v>2</v>
      </c>
      <c r="I396" s="16">
        <v>378</v>
      </c>
      <c r="J396" s="16">
        <v>381.5</v>
      </c>
      <c r="K396" s="16">
        <v>385</v>
      </c>
      <c r="L396" s="16">
        <v>2</v>
      </c>
      <c r="M396" s="16">
        <v>1</v>
      </c>
      <c r="N396" s="13"/>
      <c r="O396" s="13"/>
      <c r="P396" s="13"/>
      <c r="Q396" s="13"/>
      <c r="R396" s="13" t="s">
        <v>774</v>
      </c>
      <c r="S396" s="18" t="s">
        <v>2257</v>
      </c>
    </row>
    <row r="397" spans="1:19" ht="52.05" customHeight="1">
      <c r="A397" s="14" t="s">
        <v>725</v>
      </c>
      <c r="B397" s="13">
        <v>2024</v>
      </c>
      <c r="C397" s="15">
        <v>338</v>
      </c>
      <c r="D397" s="13" t="s">
        <v>908</v>
      </c>
      <c r="E397" s="13" t="s">
        <v>763</v>
      </c>
      <c r="F397" s="13" t="s">
        <v>1364</v>
      </c>
      <c r="G397" s="13" t="s">
        <v>1365</v>
      </c>
      <c r="H397" s="13">
        <v>4</v>
      </c>
      <c r="I397" s="16">
        <v>339</v>
      </c>
      <c r="J397" s="16">
        <v>343</v>
      </c>
      <c r="K397" s="16">
        <v>403</v>
      </c>
      <c r="L397" s="16">
        <v>6</v>
      </c>
      <c r="M397" s="16">
        <v>1.5</v>
      </c>
      <c r="N397" s="13"/>
      <c r="O397" s="13"/>
      <c r="P397" s="13"/>
      <c r="Q397" s="13"/>
      <c r="R397" s="13" t="s">
        <v>774</v>
      </c>
      <c r="S397" s="18" t="s">
        <v>2258</v>
      </c>
    </row>
    <row r="398" spans="1:19" ht="52.05" customHeight="1">
      <c r="A398" s="14" t="s">
        <v>725</v>
      </c>
      <c r="B398" s="13">
        <v>2025</v>
      </c>
      <c r="C398" s="15">
        <v>323</v>
      </c>
      <c r="D398" s="13" t="s">
        <v>848</v>
      </c>
      <c r="E398" s="13" t="s">
        <v>763</v>
      </c>
      <c r="F398" s="13" t="s">
        <v>1366</v>
      </c>
      <c r="G398" s="13" t="s">
        <v>1367</v>
      </c>
      <c r="H398" s="13">
        <v>7</v>
      </c>
      <c r="I398" s="16">
        <v>315</v>
      </c>
      <c r="J398" s="16"/>
      <c r="K398" s="16"/>
      <c r="L398" s="16">
        <v>8</v>
      </c>
      <c r="M398" s="16">
        <v>1.1428571428571428</v>
      </c>
      <c r="N398" s="13"/>
      <c r="O398" s="13"/>
      <c r="P398" s="13"/>
      <c r="Q398" s="13"/>
      <c r="R398" s="13" t="s">
        <v>774</v>
      </c>
      <c r="S398" s="18" t="s">
        <v>2255</v>
      </c>
    </row>
    <row r="399" spans="1:19" ht="52.05" customHeight="1">
      <c r="A399" s="14" t="s">
        <v>725</v>
      </c>
      <c r="B399" s="13">
        <v>2026</v>
      </c>
      <c r="C399" s="15">
        <v>324</v>
      </c>
      <c r="D399" s="13" t="s">
        <v>851</v>
      </c>
      <c r="E399" s="13" t="s">
        <v>763</v>
      </c>
      <c r="F399" s="13" t="s">
        <v>1368</v>
      </c>
      <c r="G399" s="13" t="s">
        <v>1369</v>
      </c>
      <c r="H399" s="13">
        <v>6</v>
      </c>
      <c r="I399" s="16">
        <v>316</v>
      </c>
      <c r="J399" s="16">
        <v>335.5</v>
      </c>
      <c r="K399" s="16">
        <v>390</v>
      </c>
      <c r="L399" s="16">
        <v>7</v>
      </c>
      <c r="M399" s="16">
        <v>1.1666666666666667</v>
      </c>
      <c r="N399" s="13"/>
      <c r="O399" s="13"/>
      <c r="P399" s="13"/>
      <c r="Q399" s="13"/>
      <c r="R399" s="13" t="s">
        <v>774</v>
      </c>
      <c r="S399" s="18" t="s">
        <v>2259</v>
      </c>
    </row>
    <row r="400" spans="1:19" ht="52.05" customHeight="1">
      <c r="A400" s="14" t="s">
        <v>729</v>
      </c>
      <c r="B400" s="13">
        <v>2022</v>
      </c>
      <c r="C400" s="15"/>
      <c r="D400" s="13" t="s">
        <v>981</v>
      </c>
      <c r="E400" s="13" t="s">
        <v>969</v>
      </c>
      <c r="F400" s="13"/>
      <c r="G400" s="13" t="s">
        <v>757</v>
      </c>
      <c r="H400" s="13"/>
      <c r="I400" s="16"/>
      <c r="J400" s="16"/>
      <c r="K400" s="16"/>
      <c r="L400" s="16"/>
      <c r="M400" s="16"/>
      <c r="N400" s="13"/>
      <c r="O400" s="13"/>
      <c r="P400" s="13"/>
      <c r="Q400" s="13"/>
      <c r="R400" s="13" t="s">
        <v>774</v>
      </c>
      <c r="S400" s="18" t="s">
        <v>2272</v>
      </c>
    </row>
    <row r="401" spans="1:19" ht="52.05" customHeight="1">
      <c r="A401" s="14" t="s">
        <v>729</v>
      </c>
      <c r="B401" s="13">
        <v>2023</v>
      </c>
      <c r="C401" s="15"/>
      <c r="D401" s="13" t="s">
        <v>1251</v>
      </c>
      <c r="E401" s="13" t="s">
        <v>842</v>
      </c>
      <c r="F401" s="13" t="s">
        <v>843</v>
      </c>
      <c r="G401" s="13" t="s">
        <v>761</v>
      </c>
      <c r="H401" s="13"/>
      <c r="I401" s="16"/>
      <c r="J401" s="16"/>
      <c r="K401" s="16"/>
      <c r="L401" s="16"/>
      <c r="M401" s="16"/>
      <c r="N401" s="13"/>
      <c r="O401" s="13"/>
      <c r="P401" s="13"/>
      <c r="Q401" s="13"/>
      <c r="R401" s="13" t="s">
        <v>774</v>
      </c>
      <c r="S401" s="18" t="s">
        <v>2272</v>
      </c>
    </row>
    <row r="402" spans="1:19" ht="52.05" customHeight="1">
      <c r="A402" s="14" t="s">
        <v>729</v>
      </c>
      <c r="B402" s="13">
        <v>2024</v>
      </c>
      <c r="C402" s="15"/>
      <c r="D402" s="13" t="s">
        <v>968</v>
      </c>
      <c r="E402" s="13" t="s">
        <v>969</v>
      </c>
      <c r="F402" s="13"/>
      <c r="G402" s="13" t="s">
        <v>970</v>
      </c>
      <c r="H402" s="13"/>
      <c r="I402" s="16"/>
      <c r="J402" s="16"/>
      <c r="K402" s="16"/>
      <c r="L402" s="16"/>
      <c r="M402" s="16"/>
      <c r="N402" s="13"/>
      <c r="O402" s="13"/>
      <c r="P402" s="13"/>
      <c r="Q402" s="13"/>
      <c r="R402" s="13" t="s">
        <v>774</v>
      </c>
      <c r="S402" s="18" t="s">
        <v>2272</v>
      </c>
    </row>
    <row r="403" spans="1:19" ht="52.05" customHeight="1">
      <c r="A403" s="14" t="s">
        <v>729</v>
      </c>
      <c r="B403" s="13">
        <v>2025</v>
      </c>
      <c r="C403" s="15">
        <v>313</v>
      </c>
      <c r="D403" s="13" t="s">
        <v>1255</v>
      </c>
      <c r="E403" s="13" t="s">
        <v>763</v>
      </c>
      <c r="F403" s="13" t="s">
        <v>1370</v>
      </c>
      <c r="G403" s="13" t="s">
        <v>1371</v>
      </c>
      <c r="H403" s="13">
        <v>6</v>
      </c>
      <c r="I403" s="16">
        <v>319</v>
      </c>
      <c r="J403" s="16">
        <v>336</v>
      </c>
      <c r="K403" s="16">
        <v>381</v>
      </c>
      <c r="L403" s="16">
        <v>6</v>
      </c>
      <c r="M403" s="16">
        <v>1</v>
      </c>
      <c r="N403" s="13"/>
      <c r="O403" s="13"/>
      <c r="P403" s="13"/>
      <c r="Q403" s="13"/>
      <c r="R403" s="13" t="s">
        <v>774</v>
      </c>
      <c r="S403" s="18" t="s">
        <v>2273</v>
      </c>
    </row>
    <row r="404" spans="1:19" ht="52.05" customHeight="1">
      <c r="A404" s="14" t="s">
        <v>729</v>
      </c>
      <c r="B404" s="13">
        <v>2026</v>
      </c>
      <c r="C404" s="15">
        <v>314</v>
      </c>
      <c r="D404" s="13" t="s">
        <v>1258</v>
      </c>
      <c r="E404" s="13" t="s">
        <v>763</v>
      </c>
      <c r="F404" s="13" t="s">
        <v>1372</v>
      </c>
      <c r="G404" s="13" t="s">
        <v>1373</v>
      </c>
      <c r="H404" s="13">
        <v>22</v>
      </c>
      <c r="I404" s="16">
        <v>314</v>
      </c>
      <c r="J404" s="16">
        <v>325.5</v>
      </c>
      <c r="K404" s="16">
        <v>362</v>
      </c>
      <c r="L404" s="16">
        <v>22</v>
      </c>
      <c r="M404" s="16">
        <v>1</v>
      </c>
      <c r="N404" s="13"/>
      <c r="O404" s="13"/>
      <c r="P404" s="13"/>
      <c r="Q404" s="13"/>
      <c r="R404" s="13" t="s">
        <v>774</v>
      </c>
      <c r="S404" s="18" t="s">
        <v>2274</v>
      </c>
    </row>
    <row r="405" spans="1:19" ht="52.05" customHeight="1">
      <c r="A405" s="14" t="s">
        <v>734</v>
      </c>
      <c r="B405" s="13">
        <v>2022</v>
      </c>
      <c r="C405" s="15">
        <v>350</v>
      </c>
      <c r="D405" s="13" t="s">
        <v>1250</v>
      </c>
      <c r="E405" s="13" t="s">
        <v>755</v>
      </c>
      <c r="F405" s="13" t="s">
        <v>756</v>
      </c>
      <c r="G405" s="13" t="s">
        <v>757</v>
      </c>
      <c r="H405" s="13"/>
      <c r="I405" s="16"/>
      <c r="J405" s="16"/>
      <c r="K405" s="16"/>
      <c r="L405" s="16"/>
      <c r="M405" s="16"/>
      <c r="N405" s="13"/>
      <c r="O405" s="13"/>
      <c r="P405" s="13"/>
      <c r="Q405" s="13"/>
      <c r="R405" s="13" t="s">
        <v>774</v>
      </c>
      <c r="S405" s="18" t="s">
        <v>2275</v>
      </c>
    </row>
    <row r="406" spans="1:19" ht="52.05" customHeight="1">
      <c r="A406" s="14" t="s">
        <v>734</v>
      </c>
      <c r="B406" s="13">
        <v>2023</v>
      </c>
      <c r="C406" s="15"/>
      <c r="D406" s="13" t="s">
        <v>1251</v>
      </c>
      <c r="E406" s="13" t="s">
        <v>842</v>
      </c>
      <c r="F406" s="13" t="s">
        <v>843</v>
      </c>
      <c r="G406" s="13" t="s">
        <v>761</v>
      </c>
      <c r="H406" s="13">
        <v>0</v>
      </c>
      <c r="I406" s="16"/>
      <c r="J406" s="16"/>
      <c r="K406" s="16"/>
      <c r="L406" s="16">
        <v>0</v>
      </c>
      <c r="M406" s="16"/>
      <c r="N406" s="13"/>
      <c r="O406" s="13"/>
      <c r="P406" s="13"/>
      <c r="Q406" s="13"/>
      <c r="R406" s="13" t="s">
        <v>774</v>
      </c>
      <c r="S406" s="18" t="s">
        <v>2275</v>
      </c>
    </row>
    <row r="407" spans="1:19" ht="52.05" customHeight="1">
      <c r="A407" s="14" t="s">
        <v>734</v>
      </c>
      <c r="B407" s="13">
        <v>2024</v>
      </c>
      <c r="C407" s="15">
        <v>328</v>
      </c>
      <c r="D407" s="13" t="s">
        <v>1252</v>
      </c>
      <c r="E407" s="13" t="s">
        <v>763</v>
      </c>
      <c r="F407" s="13" t="s">
        <v>1374</v>
      </c>
      <c r="G407" s="13" t="s">
        <v>1375</v>
      </c>
      <c r="H407" s="13">
        <v>1</v>
      </c>
      <c r="I407" s="16"/>
      <c r="J407" s="16"/>
      <c r="K407" s="16"/>
      <c r="L407" s="16">
        <v>1</v>
      </c>
      <c r="M407" s="16">
        <v>1</v>
      </c>
      <c r="N407" s="13"/>
      <c r="O407" s="13"/>
      <c r="P407" s="13"/>
      <c r="Q407" s="13"/>
      <c r="R407" s="13" t="s">
        <v>774</v>
      </c>
      <c r="S407" s="18" t="s">
        <v>2275</v>
      </c>
    </row>
    <row r="408" spans="1:19" ht="52.05" customHeight="1">
      <c r="A408" s="14" t="s">
        <v>734</v>
      </c>
      <c r="B408" s="13">
        <v>2025</v>
      </c>
      <c r="C408" s="15">
        <v>313</v>
      </c>
      <c r="D408" s="13" t="s">
        <v>1255</v>
      </c>
      <c r="E408" s="13" t="s">
        <v>763</v>
      </c>
      <c r="F408" s="13" t="s">
        <v>1376</v>
      </c>
      <c r="G408" s="13" t="s">
        <v>1377</v>
      </c>
      <c r="H408" s="13">
        <v>1</v>
      </c>
      <c r="I408" s="16">
        <v>347</v>
      </c>
      <c r="J408" s="16"/>
      <c r="K408" s="16"/>
      <c r="L408" s="16">
        <v>1</v>
      </c>
      <c r="M408" s="16">
        <v>1</v>
      </c>
      <c r="N408" s="13"/>
      <c r="O408" s="13"/>
      <c r="P408" s="13"/>
      <c r="Q408" s="13"/>
      <c r="R408" s="13" t="s">
        <v>774</v>
      </c>
      <c r="S408" s="18" t="s">
        <v>2275</v>
      </c>
    </row>
    <row r="409" spans="1:19" ht="52.05" customHeight="1">
      <c r="A409" s="14" t="s">
        <v>734</v>
      </c>
      <c r="B409" s="13">
        <v>2026</v>
      </c>
      <c r="C409" s="15">
        <v>314</v>
      </c>
      <c r="D409" s="13" t="s">
        <v>1258</v>
      </c>
      <c r="E409" s="13" t="s">
        <v>763</v>
      </c>
      <c r="F409" s="13" t="s">
        <v>1378</v>
      </c>
      <c r="G409" s="13" t="s">
        <v>1379</v>
      </c>
      <c r="H409" s="13">
        <v>2</v>
      </c>
      <c r="I409" s="16">
        <v>355</v>
      </c>
      <c r="J409" s="16">
        <v>358.5</v>
      </c>
      <c r="K409" s="16">
        <v>362</v>
      </c>
      <c r="L409" s="16">
        <v>2</v>
      </c>
      <c r="M409" s="16">
        <v>1</v>
      </c>
      <c r="N409" s="13"/>
      <c r="O409" s="13"/>
      <c r="P409" s="13"/>
      <c r="Q409" s="13"/>
      <c r="R409" s="13" t="s">
        <v>774</v>
      </c>
      <c r="S409" s="18" t="s">
        <v>2276</v>
      </c>
    </row>
  </sheetData>
  <mergeCells count="1">
    <mergeCell ref="A1:S2"/>
  </mergeCells>
  <phoneticPr fontId="9" type="noConversion"/>
  <conditionalFormatting sqref="E5:E409">
    <cfRule type="containsText" dxfId="13" priority="1" operator="containsText" text="官方"/>
    <cfRule type="containsText" dxfId="12" priority="2" operator="containsText" text="缺失"/>
    <cfRule type="containsText" dxfId="11" priority="3" operator="containsText" text="机构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"/>
  <sheetViews>
    <sheetView showGridLines="0" workbookViewId="0">
      <selection sqref="A1:L2"/>
    </sheetView>
  </sheetViews>
  <sheetFormatPr defaultRowHeight="13.5"/>
  <cols>
    <col min="1" max="1" width="7" customWidth="1"/>
    <col min="2" max="2" width="21" customWidth="1"/>
    <col min="3" max="3" width="36" customWidth="1"/>
    <col min="4" max="4" width="14" customWidth="1"/>
    <col min="5" max="5" width="15" customWidth="1"/>
    <col min="6" max="6" width="10" customWidth="1"/>
    <col min="7" max="7" width="11" customWidth="1"/>
    <col min="8" max="8" width="21" customWidth="1"/>
    <col min="9" max="9" width="22" customWidth="1"/>
    <col min="10" max="10" width="44" customWidth="1"/>
    <col min="11" max="11" width="58" customWidth="1"/>
    <col min="12" max="12" width="36" customWidth="1"/>
  </cols>
  <sheetData>
    <row r="1" spans="1:12">
      <c r="A1" s="21" t="s">
        <v>1380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13.9">
      <c r="A4" s="3" t="s">
        <v>1381</v>
      </c>
      <c r="B4" s="3" t="s">
        <v>1382</v>
      </c>
      <c r="C4" s="3" t="s">
        <v>1383</v>
      </c>
      <c r="D4" s="3" t="s">
        <v>1384</v>
      </c>
    </row>
    <row r="5" spans="1:12" ht="13.9">
      <c r="A5" s="7" t="s">
        <v>1385</v>
      </c>
      <c r="B5" s="7">
        <v>55</v>
      </c>
      <c r="C5" s="7" t="s">
        <v>1386</v>
      </c>
      <c r="D5" s="7" t="s">
        <v>1387</v>
      </c>
    </row>
    <row r="6" spans="1:12" ht="24.75">
      <c r="A6" s="7" t="s">
        <v>1388</v>
      </c>
      <c r="B6" s="7">
        <v>54</v>
      </c>
      <c r="C6" s="7" t="s">
        <v>1389</v>
      </c>
      <c r="D6" s="7" t="s">
        <v>1390</v>
      </c>
    </row>
    <row r="7" spans="1:12" ht="24.75">
      <c r="A7" s="7" t="s">
        <v>1391</v>
      </c>
      <c r="B7" s="7">
        <v>52</v>
      </c>
      <c r="C7" s="7" t="s">
        <v>1392</v>
      </c>
      <c r="D7" s="7" t="s">
        <v>1393</v>
      </c>
    </row>
    <row r="8" spans="1:12" ht="13.9">
      <c r="A8" s="7" t="s">
        <v>1394</v>
      </c>
      <c r="B8" s="7">
        <v>53</v>
      </c>
      <c r="C8" s="7" t="s">
        <v>1395</v>
      </c>
      <c r="D8" s="7" t="s">
        <v>1396</v>
      </c>
    </row>
    <row r="11" spans="1:12" ht="42" customHeight="1">
      <c r="A11" s="12" t="s">
        <v>1397</v>
      </c>
      <c r="B11" s="12" t="s">
        <v>1398</v>
      </c>
      <c r="C11" s="12" t="s">
        <v>1399</v>
      </c>
      <c r="D11" s="12" t="s">
        <v>1400</v>
      </c>
      <c r="E11" s="12" t="s">
        <v>1401</v>
      </c>
      <c r="F11" s="12" t="s">
        <v>1402</v>
      </c>
      <c r="G11" s="12" t="s">
        <v>1403</v>
      </c>
      <c r="H11" s="12" t="s">
        <v>1404</v>
      </c>
      <c r="I11" s="12" t="s">
        <v>1405</v>
      </c>
      <c r="J11" s="12" t="s">
        <v>1406</v>
      </c>
      <c r="K11" s="12" t="s">
        <v>1407</v>
      </c>
      <c r="L11" s="12" t="s">
        <v>1408</v>
      </c>
    </row>
    <row r="12" spans="1:12" ht="55.05" customHeight="1">
      <c r="A12" s="13">
        <v>1</v>
      </c>
      <c r="B12" s="13" t="s">
        <v>37</v>
      </c>
      <c r="C12" s="13" t="s">
        <v>1409</v>
      </c>
      <c r="D12" s="13" t="s">
        <v>1410</v>
      </c>
      <c r="E12" s="13" t="s">
        <v>1411</v>
      </c>
      <c r="F12" s="13">
        <v>1</v>
      </c>
      <c r="G12" s="13">
        <v>8</v>
      </c>
      <c r="H12" s="13" t="s">
        <v>248</v>
      </c>
      <c r="I12" s="13" t="s">
        <v>140</v>
      </c>
      <c r="J12" s="13" t="s">
        <v>1412</v>
      </c>
      <c r="K12" s="13" t="s">
        <v>1413</v>
      </c>
      <c r="L12" s="13" t="s">
        <v>1414</v>
      </c>
    </row>
    <row r="13" spans="1:12" ht="55.05" customHeight="1">
      <c r="A13" s="13">
        <v>2</v>
      </c>
      <c r="B13" s="13" t="s">
        <v>38</v>
      </c>
      <c r="C13" s="13" t="s">
        <v>1415</v>
      </c>
      <c r="D13" s="13" t="s">
        <v>1410</v>
      </c>
      <c r="E13" s="13" t="s">
        <v>1411</v>
      </c>
      <c r="F13" s="17">
        <v>0</v>
      </c>
      <c r="G13" s="13">
        <v>0</v>
      </c>
      <c r="H13" s="13" t="s">
        <v>248</v>
      </c>
      <c r="I13" s="13" t="s">
        <v>140</v>
      </c>
      <c r="J13" s="13"/>
      <c r="K13" s="13" t="s">
        <v>1416</v>
      </c>
      <c r="L13" s="13" t="s">
        <v>1414</v>
      </c>
    </row>
    <row r="14" spans="1:12" ht="55.05" customHeight="1">
      <c r="A14" s="13">
        <v>3</v>
      </c>
      <c r="B14" s="13" t="s">
        <v>34</v>
      </c>
      <c r="C14" s="13" t="s">
        <v>1417</v>
      </c>
      <c r="D14" s="13" t="s">
        <v>1410</v>
      </c>
      <c r="E14" s="13" t="s">
        <v>1411</v>
      </c>
      <c r="F14" s="13">
        <v>1</v>
      </c>
      <c r="G14" s="13">
        <v>9</v>
      </c>
      <c r="H14" s="13" t="s">
        <v>248</v>
      </c>
      <c r="I14" s="13" t="s">
        <v>140</v>
      </c>
      <c r="J14" s="13" t="s">
        <v>1418</v>
      </c>
      <c r="K14" s="13" t="s">
        <v>1419</v>
      </c>
      <c r="L14" s="13" t="s">
        <v>1414</v>
      </c>
    </row>
    <row r="15" spans="1:12" ht="55.05" customHeight="1">
      <c r="A15" s="13">
        <v>4</v>
      </c>
      <c r="B15" s="13" t="s">
        <v>48</v>
      </c>
      <c r="C15" s="13" t="s">
        <v>1420</v>
      </c>
      <c r="D15" s="13" t="s">
        <v>1410</v>
      </c>
      <c r="E15" s="13" t="s">
        <v>1411</v>
      </c>
      <c r="F15" s="13">
        <v>1</v>
      </c>
      <c r="G15" s="13">
        <v>9</v>
      </c>
      <c r="H15" s="13" t="s">
        <v>248</v>
      </c>
      <c r="I15" s="13" t="s">
        <v>140</v>
      </c>
      <c r="J15" s="13" t="s">
        <v>1421</v>
      </c>
      <c r="K15" s="13" t="s">
        <v>1422</v>
      </c>
      <c r="L15" s="13" t="s">
        <v>1414</v>
      </c>
    </row>
    <row r="16" spans="1:12" ht="55.05" customHeight="1">
      <c r="A16" s="13">
        <v>5</v>
      </c>
      <c r="B16" s="13" t="s">
        <v>53</v>
      </c>
      <c r="C16" s="13" t="s">
        <v>1423</v>
      </c>
      <c r="D16" s="13" t="s">
        <v>1410</v>
      </c>
      <c r="E16" s="13" t="s">
        <v>1411</v>
      </c>
      <c r="F16" s="13">
        <v>1</v>
      </c>
      <c r="G16" s="13">
        <v>7</v>
      </c>
      <c r="H16" s="13" t="s">
        <v>248</v>
      </c>
      <c r="I16" s="13" t="s">
        <v>140</v>
      </c>
      <c r="J16" s="13" t="s">
        <v>1424</v>
      </c>
      <c r="K16" s="13" t="s">
        <v>1425</v>
      </c>
      <c r="L16" s="13" t="s">
        <v>1414</v>
      </c>
    </row>
    <row r="17" spans="1:12" ht="55.05" customHeight="1">
      <c r="A17" s="13">
        <v>6</v>
      </c>
      <c r="B17" s="13" t="s">
        <v>43</v>
      </c>
      <c r="C17" s="13" t="s">
        <v>1426</v>
      </c>
      <c r="D17" s="13" t="s">
        <v>1410</v>
      </c>
      <c r="E17" s="13" t="s">
        <v>1411</v>
      </c>
      <c r="F17" s="13">
        <v>1</v>
      </c>
      <c r="G17" s="13">
        <v>9</v>
      </c>
      <c r="H17" s="13" t="s">
        <v>248</v>
      </c>
      <c r="I17" s="13" t="s">
        <v>140</v>
      </c>
      <c r="J17" s="13" t="s">
        <v>1427</v>
      </c>
      <c r="K17" s="13" t="s">
        <v>1428</v>
      </c>
      <c r="L17" s="13" t="s">
        <v>1414</v>
      </c>
    </row>
    <row r="18" spans="1:12" ht="55.05" customHeight="1">
      <c r="A18" s="13">
        <v>7</v>
      </c>
      <c r="B18" s="13" t="s">
        <v>392</v>
      </c>
      <c r="C18" s="13" t="s">
        <v>1429</v>
      </c>
      <c r="D18" s="13" t="s">
        <v>1430</v>
      </c>
      <c r="E18" s="13" t="s">
        <v>1411</v>
      </c>
      <c r="F18" s="13">
        <v>1</v>
      </c>
      <c r="G18" s="13">
        <v>9</v>
      </c>
      <c r="H18" s="13" t="s">
        <v>248</v>
      </c>
      <c r="I18" s="13" t="s">
        <v>140</v>
      </c>
      <c r="J18" s="13" t="s">
        <v>1427</v>
      </c>
      <c r="K18" s="13" t="s">
        <v>1431</v>
      </c>
      <c r="L18" s="13" t="s">
        <v>1414</v>
      </c>
    </row>
    <row r="19" spans="1:12" ht="55.05" customHeight="1">
      <c r="A19" s="13">
        <v>8</v>
      </c>
      <c r="B19" s="13" t="s">
        <v>344</v>
      </c>
      <c r="C19" s="13" t="s">
        <v>1432</v>
      </c>
      <c r="D19" s="13" t="s">
        <v>1430</v>
      </c>
      <c r="E19" s="13" t="s">
        <v>1411</v>
      </c>
      <c r="F19" s="13">
        <v>1</v>
      </c>
      <c r="G19" s="13">
        <v>7</v>
      </c>
      <c r="H19" s="13" t="s">
        <v>248</v>
      </c>
      <c r="I19" s="13" t="s">
        <v>140</v>
      </c>
      <c r="J19" s="13" t="s">
        <v>1433</v>
      </c>
      <c r="K19" s="13" t="s">
        <v>1434</v>
      </c>
      <c r="L19" s="13" t="s">
        <v>1414</v>
      </c>
    </row>
    <row r="20" spans="1:12" ht="55.05" customHeight="1">
      <c r="A20" s="13">
        <v>9</v>
      </c>
      <c r="B20" s="13" t="s">
        <v>306</v>
      </c>
      <c r="C20" s="13" t="s">
        <v>1435</v>
      </c>
      <c r="D20" s="13" t="s">
        <v>1430</v>
      </c>
      <c r="E20" s="13" t="s">
        <v>1411</v>
      </c>
      <c r="F20" s="13">
        <v>1</v>
      </c>
      <c r="G20" s="13">
        <v>10</v>
      </c>
      <c r="H20" s="13" t="s">
        <v>248</v>
      </c>
      <c r="I20" s="13" t="s">
        <v>140</v>
      </c>
      <c r="J20" s="13" t="s">
        <v>1427</v>
      </c>
      <c r="K20" s="13" t="s">
        <v>1436</v>
      </c>
      <c r="L20" s="13" t="s">
        <v>1414</v>
      </c>
    </row>
    <row r="21" spans="1:12" ht="55.05" customHeight="1">
      <c r="A21" s="13">
        <v>10</v>
      </c>
      <c r="B21" s="13" t="s">
        <v>47</v>
      </c>
      <c r="C21" s="13" t="s">
        <v>1437</v>
      </c>
      <c r="D21" s="13" t="s">
        <v>1430</v>
      </c>
      <c r="E21" s="13" t="s">
        <v>1411</v>
      </c>
      <c r="F21" s="13">
        <v>1</v>
      </c>
      <c r="G21" s="13">
        <v>9</v>
      </c>
      <c r="H21" s="13" t="s">
        <v>248</v>
      </c>
      <c r="I21" s="13" t="s">
        <v>140</v>
      </c>
      <c r="J21" s="13" t="s">
        <v>1427</v>
      </c>
      <c r="K21" s="13" t="s">
        <v>1438</v>
      </c>
      <c r="L21" s="13" t="s">
        <v>1414</v>
      </c>
    </row>
    <row r="22" spans="1:12" ht="55.05" customHeight="1">
      <c r="A22" s="13">
        <v>11</v>
      </c>
      <c r="B22" s="13" t="s">
        <v>338</v>
      </c>
      <c r="C22" s="13" t="s">
        <v>1439</v>
      </c>
      <c r="D22" s="13" t="s">
        <v>1430</v>
      </c>
      <c r="E22" s="13" t="s">
        <v>1411</v>
      </c>
      <c r="F22" s="13">
        <v>1</v>
      </c>
      <c r="G22" s="13">
        <v>7</v>
      </c>
      <c r="H22" s="13" t="s">
        <v>248</v>
      </c>
      <c r="I22" s="13" t="s">
        <v>140</v>
      </c>
      <c r="J22" s="13" t="s">
        <v>1440</v>
      </c>
      <c r="K22" s="13" t="s">
        <v>1441</v>
      </c>
      <c r="L22" s="13" t="s">
        <v>1414</v>
      </c>
    </row>
    <row r="23" spans="1:12" ht="55.05" customHeight="1">
      <c r="A23" s="13">
        <v>12</v>
      </c>
      <c r="B23" s="13" t="s">
        <v>320</v>
      </c>
      <c r="C23" s="13" t="s">
        <v>1442</v>
      </c>
      <c r="D23" s="13" t="s">
        <v>1430</v>
      </c>
      <c r="E23" s="13" t="s">
        <v>1411</v>
      </c>
      <c r="F23" s="13">
        <v>1</v>
      </c>
      <c r="G23" s="13">
        <v>7</v>
      </c>
      <c r="H23" s="13" t="s">
        <v>248</v>
      </c>
      <c r="I23" s="13" t="s">
        <v>140</v>
      </c>
      <c r="J23" s="13" t="s">
        <v>1440</v>
      </c>
      <c r="K23" s="13" t="s">
        <v>1443</v>
      </c>
      <c r="L23" s="13" t="s">
        <v>1414</v>
      </c>
    </row>
    <row r="24" spans="1:12" ht="55.05" customHeight="1">
      <c r="A24" s="13">
        <v>13</v>
      </c>
      <c r="B24" s="13" t="s">
        <v>56</v>
      </c>
      <c r="C24" s="13" t="s">
        <v>1444</v>
      </c>
      <c r="D24" s="13" t="s">
        <v>1445</v>
      </c>
      <c r="E24" s="13" t="s">
        <v>1411</v>
      </c>
      <c r="F24" s="13">
        <v>1</v>
      </c>
      <c r="G24" s="13">
        <v>7</v>
      </c>
      <c r="H24" s="13" t="s">
        <v>248</v>
      </c>
      <c r="I24" s="13" t="s">
        <v>140</v>
      </c>
      <c r="J24" s="13" t="s">
        <v>1440</v>
      </c>
      <c r="K24" s="13" t="s">
        <v>1446</v>
      </c>
      <c r="L24" s="13" t="s">
        <v>1414</v>
      </c>
    </row>
    <row r="25" spans="1:12" ht="55.05" customHeight="1">
      <c r="A25" s="13">
        <v>14</v>
      </c>
      <c r="B25" s="13" t="s">
        <v>54</v>
      </c>
      <c r="C25" s="13" t="s">
        <v>1447</v>
      </c>
      <c r="D25" s="13" t="s">
        <v>1445</v>
      </c>
      <c r="E25" s="13" t="s">
        <v>1411</v>
      </c>
      <c r="F25" s="13">
        <v>1</v>
      </c>
      <c r="G25" s="13">
        <v>8</v>
      </c>
      <c r="H25" s="13" t="s">
        <v>248</v>
      </c>
      <c r="I25" s="13" t="s">
        <v>140</v>
      </c>
      <c r="J25" s="13" t="s">
        <v>1440</v>
      </c>
      <c r="K25" s="13" t="s">
        <v>1448</v>
      </c>
      <c r="L25" s="13" t="s">
        <v>1414</v>
      </c>
    </row>
    <row r="26" spans="1:12" ht="55.05" customHeight="1">
      <c r="A26" s="13">
        <v>15</v>
      </c>
      <c r="B26" s="13" t="s">
        <v>52</v>
      </c>
      <c r="C26" s="13" t="s">
        <v>1449</v>
      </c>
      <c r="D26" s="13" t="s">
        <v>1445</v>
      </c>
      <c r="E26" s="13" t="s">
        <v>1411</v>
      </c>
      <c r="F26" s="13">
        <v>1</v>
      </c>
      <c r="G26" s="13">
        <v>8</v>
      </c>
      <c r="H26" s="13" t="s">
        <v>248</v>
      </c>
      <c r="I26" s="13" t="s">
        <v>140</v>
      </c>
      <c r="J26" s="13" t="s">
        <v>1450</v>
      </c>
      <c r="K26" s="13" t="s">
        <v>1451</v>
      </c>
      <c r="L26" s="13" t="s">
        <v>1414</v>
      </c>
    </row>
    <row r="27" spans="1:12" ht="55.05" customHeight="1">
      <c r="A27" s="13">
        <v>16</v>
      </c>
      <c r="B27" s="13" t="s">
        <v>364</v>
      </c>
      <c r="C27" s="13" t="s">
        <v>1452</v>
      </c>
      <c r="D27" s="13" t="s">
        <v>1445</v>
      </c>
      <c r="E27" s="13" t="s">
        <v>1411</v>
      </c>
      <c r="F27" s="13">
        <v>1</v>
      </c>
      <c r="G27" s="13">
        <v>7</v>
      </c>
      <c r="H27" s="13" t="s">
        <v>248</v>
      </c>
      <c r="I27" s="13" t="s">
        <v>140</v>
      </c>
      <c r="J27" s="13" t="s">
        <v>1440</v>
      </c>
      <c r="K27" s="13" t="s">
        <v>1453</v>
      </c>
      <c r="L27" s="13" t="s">
        <v>1414</v>
      </c>
    </row>
    <row r="28" spans="1:12" ht="55.05" customHeight="1">
      <c r="A28" s="13">
        <v>17</v>
      </c>
      <c r="B28" s="13" t="s">
        <v>44</v>
      </c>
      <c r="C28" s="13" t="s">
        <v>1454</v>
      </c>
      <c r="D28" s="13" t="s">
        <v>1445</v>
      </c>
      <c r="E28" s="13" t="s">
        <v>1411</v>
      </c>
      <c r="F28" s="13">
        <v>1</v>
      </c>
      <c r="G28" s="13">
        <v>8</v>
      </c>
      <c r="H28" s="13" t="s">
        <v>248</v>
      </c>
      <c r="I28" s="13" t="s">
        <v>140</v>
      </c>
      <c r="J28" s="13" t="s">
        <v>1421</v>
      </c>
      <c r="K28" s="13" t="s">
        <v>1455</v>
      </c>
      <c r="L28" s="13" t="s">
        <v>1414</v>
      </c>
    </row>
    <row r="29" spans="1:12" ht="55.05" customHeight="1">
      <c r="A29" s="13">
        <v>18</v>
      </c>
      <c r="B29" s="13" t="s">
        <v>387</v>
      </c>
      <c r="C29" s="13" t="s">
        <v>1456</v>
      </c>
      <c r="D29" s="13" t="s">
        <v>1445</v>
      </c>
      <c r="E29" s="13" t="s">
        <v>1411</v>
      </c>
      <c r="F29" s="13">
        <v>1</v>
      </c>
      <c r="G29" s="13">
        <v>8</v>
      </c>
      <c r="H29" s="13" t="s">
        <v>248</v>
      </c>
      <c r="I29" s="13" t="s">
        <v>140</v>
      </c>
      <c r="J29" s="13" t="s">
        <v>1440</v>
      </c>
      <c r="K29" s="13" t="s">
        <v>1457</v>
      </c>
      <c r="L29" s="13" t="s">
        <v>1414</v>
      </c>
    </row>
    <row r="30" spans="1:12" ht="55.05" customHeight="1">
      <c r="A30" s="13">
        <v>19</v>
      </c>
      <c r="B30" s="13" t="s">
        <v>326</v>
      </c>
      <c r="C30" s="13" t="s">
        <v>1458</v>
      </c>
      <c r="D30" s="13" t="s">
        <v>1445</v>
      </c>
      <c r="E30" s="13" t="s">
        <v>1411</v>
      </c>
      <c r="F30" s="13">
        <v>1</v>
      </c>
      <c r="G30" s="13">
        <v>7</v>
      </c>
      <c r="H30" s="13" t="s">
        <v>248</v>
      </c>
      <c r="I30" s="13" t="s">
        <v>140</v>
      </c>
      <c r="J30" s="13" t="s">
        <v>1440</v>
      </c>
      <c r="K30" s="13" t="s">
        <v>1459</v>
      </c>
      <c r="L30" s="13" t="s">
        <v>1414</v>
      </c>
    </row>
    <row r="31" spans="1:12" ht="55.05" customHeight="1">
      <c r="A31" s="13">
        <v>20</v>
      </c>
      <c r="B31" s="13" t="s">
        <v>55</v>
      </c>
      <c r="C31" s="13" t="s">
        <v>1460</v>
      </c>
      <c r="D31" s="13" t="s">
        <v>1461</v>
      </c>
      <c r="E31" s="13" t="s">
        <v>1411</v>
      </c>
      <c r="F31" s="17">
        <v>0</v>
      </c>
      <c r="G31" s="13">
        <v>0</v>
      </c>
      <c r="H31" s="13" t="s">
        <v>248</v>
      </c>
      <c r="I31" s="13" t="s">
        <v>140</v>
      </c>
      <c r="J31" s="13"/>
      <c r="K31" s="13" t="s">
        <v>1462</v>
      </c>
      <c r="L31" s="13" t="s">
        <v>1414</v>
      </c>
    </row>
    <row r="32" spans="1:12" ht="55.05" customHeight="1">
      <c r="A32" s="13">
        <v>21</v>
      </c>
      <c r="B32" s="13" t="s">
        <v>349</v>
      </c>
      <c r="C32" s="13" t="s">
        <v>1463</v>
      </c>
      <c r="D32" s="13" t="s">
        <v>1461</v>
      </c>
      <c r="E32" s="13" t="s">
        <v>1411</v>
      </c>
      <c r="F32" s="13">
        <v>1</v>
      </c>
      <c r="G32" s="13">
        <v>7</v>
      </c>
      <c r="H32" s="13" t="s">
        <v>248</v>
      </c>
      <c r="I32" s="13" t="s">
        <v>140</v>
      </c>
      <c r="J32" s="13" t="s">
        <v>1440</v>
      </c>
      <c r="K32" s="13" t="s">
        <v>1464</v>
      </c>
      <c r="L32" s="13" t="s">
        <v>1414</v>
      </c>
    </row>
    <row r="33" spans="1:12" ht="55.05" customHeight="1">
      <c r="A33" s="13">
        <v>22</v>
      </c>
      <c r="B33" s="13" t="s">
        <v>370</v>
      </c>
      <c r="C33" s="13" t="s">
        <v>1465</v>
      </c>
      <c r="D33" s="13" t="s">
        <v>1461</v>
      </c>
      <c r="E33" s="13" t="s">
        <v>1411</v>
      </c>
      <c r="F33" s="13">
        <v>1</v>
      </c>
      <c r="G33" s="13">
        <v>7</v>
      </c>
      <c r="H33" s="13" t="s">
        <v>248</v>
      </c>
      <c r="I33" s="13" t="s">
        <v>140</v>
      </c>
      <c r="J33" s="13" t="s">
        <v>1466</v>
      </c>
      <c r="K33" s="13" t="s">
        <v>1467</v>
      </c>
      <c r="L33" s="13" t="s">
        <v>1414</v>
      </c>
    </row>
    <row r="34" spans="1:12" ht="55.05" customHeight="1">
      <c r="A34" s="13">
        <v>23</v>
      </c>
      <c r="B34" s="13" t="s">
        <v>51</v>
      </c>
      <c r="C34" s="13" t="s">
        <v>1468</v>
      </c>
      <c r="D34" s="13" t="s">
        <v>1461</v>
      </c>
      <c r="E34" s="13" t="s">
        <v>1411</v>
      </c>
      <c r="F34" s="13">
        <v>1</v>
      </c>
      <c r="G34" s="13">
        <v>7</v>
      </c>
      <c r="H34" s="13" t="s">
        <v>248</v>
      </c>
      <c r="I34" s="13" t="s">
        <v>140</v>
      </c>
      <c r="J34" s="13" t="s">
        <v>1440</v>
      </c>
      <c r="K34" s="13" t="s">
        <v>1469</v>
      </c>
      <c r="L34" s="13" t="s">
        <v>1414</v>
      </c>
    </row>
    <row r="35" spans="1:12" ht="55.05" customHeight="1">
      <c r="A35" s="13">
        <v>24</v>
      </c>
      <c r="B35" s="13" t="s">
        <v>57</v>
      </c>
      <c r="C35" s="13" t="s">
        <v>1470</v>
      </c>
      <c r="D35" s="13" t="s">
        <v>1461</v>
      </c>
      <c r="E35" s="13" t="s">
        <v>1411</v>
      </c>
      <c r="F35" s="13">
        <v>1</v>
      </c>
      <c r="G35" s="13">
        <v>8</v>
      </c>
      <c r="H35" s="13" t="s">
        <v>248</v>
      </c>
      <c r="I35" s="13" t="s">
        <v>140</v>
      </c>
      <c r="J35" s="13" t="s">
        <v>1450</v>
      </c>
      <c r="K35" s="13" t="s">
        <v>1471</v>
      </c>
      <c r="L35" s="13" t="s">
        <v>1414</v>
      </c>
    </row>
    <row r="36" spans="1:12" ht="55.05" customHeight="1">
      <c r="A36" s="13">
        <v>25</v>
      </c>
      <c r="B36" s="13" t="s">
        <v>501</v>
      </c>
      <c r="C36" s="13" t="s">
        <v>1472</v>
      </c>
      <c r="D36" s="13" t="s">
        <v>1461</v>
      </c>
      <c r="E36" s="13" t="s">
        <v>1411</v>
      </c>
      <c r="F36" s="13">
        <v>1</v>
      </c>
      <c r="G36" s="13">
        <v>8</v>
      </c>
      <c r="H36" s="13" t="s">
        <v>248</v>
      </c>
      <c r="I36" s="13" t="s">
        <v>140</v>
      </c>
      <c r="J36" s="13" t="s">
        <v>1427</v>
      </c>
      <c r="K36" s="13" t="s">
        <v>1473</v>
      </c>
      <c r="L36" s="13" t="s">
        <v>1414</v>
      </c>
    </row>
    <row r="37" spans="1:12" ht="55.05" customHeight="1">
      <c r="A37" s="13">
        <v>26</v>
      </c>
      <c r="B37" s="13" t="s">
        <v>438</v>
      </c>
      <c r="C37" s="13" t="s">
        <v>1474</v>
      </c>
      <c r="D37" s="13" t="s">
        <v>1475</v>
      </c>
      <c r="E37" s="13" t="s">
        <v>1411</v>
      </c>
      <c r="F37" s="13">
        <v>1</v>
      </c>
      <c r="G37" s="13">
        <v>6</v>
      </c>
      <c r="H37" s="13" t="s">
        <v>248</v>
      </c>
      <c r="I37" s="13" t="s">
        <v>140</v>
      </c>
      <c r="J37" s="13" t="s">
        <v>1433</v>
      </c>
      <c r="K37" s="13" t="s">
        <v>1476</v>
      </c>
      <c r="L37" s="13" t="s">
        <v>1414</v>
      </c>
    </row>
    <row r="38" spans="1:12" ht="55.05" customHeight="1">
      <c r="A38" s="13">
        <v>27</v>
      </c>
      <c r="B38" s="13" t="s">
        <v>462</v>
      </c>
      <c r="C38" s="13" t="s">
        <v>1477</v>
      </c>
      <c r="D38" s="13" t="s">
        <v>1475</v>
      </c>
      <c r="E38" s="13" t="s">
        <v>1411</v>
      </c>
      <c r="F38" s="13">
        <v>1</v>
      </c>
      <c r="G38" s="13">
        <v>7</v>
      </c>
      <c r="H38" s="13" t="s">
        <v>248</v>
      </c>
      <c r="I38" s="13" t="s">
        <v>140</v>
      </c>
      <c r="J38" s="13" t="s">
        <v>1440</v>
      </c>
      <c r="K38" s="13" t="s">
        <v>1478</v>
      </c>
      <c r="L38" s="13" t="s">
        <v>1414</v>
      </c>
    </row>
    <row r="39" spans="1:12" ht="55.05" customHeight="1">
      <c r="A39" s="13">
        <v>28</v>
      </c>
      <c r="B39" s="13" t="s">
        <v>632</v>
      </c>
      <c r="C39" s="13" t="s">
        <v>1479</v>
      </c>
      <c r="D39" s="13" t="s">
        <v>1475</v>
      </c>
      <c r="E39" s="13" t="s">
        <v>1411</v>
      </c>
      <c r="F39" s="13">
        <v>1</v>
      </c>
      <c r="G39" s="13">
        <v>7</v>
      </c>
      <c r="H39" s="13" t="s">
        <v>248</v>
      </c>
      <c r="I39" s="13" t="s">
        <v>140</v>
      </c>
      <c r="J39" s="13" t="s">
        <v>1440</v>
      </c>
      <c r="K39" s="13" t="s">
        <v>1480</v>
      </c>
      <c r="L39" s="13" t="s">
        <v>1414</v>
      </c>
    </row>
    <row r="40" spans="1:12" ht="55.05" customHeight="1">
      <c r="A40" s="13">
        <v>29</v>
      </c>
      <c r="B40" s="13" t="s">
        <v>616</v>
      </c>
      <c r="C40" s="13" t="s">
        <v>1481</v>
      </c>
      <c r="D40" s="13" t="s">
        <v>1475</v>
      </c>
      <c r="E40" s="13" t="s">
        <v>1411</v>
      </c>
      <c r="F40" s="13">
        <v>1</v>
      </c>
      <c r="G40" s="13">
        <v>7</v>
      </c>
      <c r="H40" s="13" t="s">
        <v>248</v>
      </c>
      <c r="I40" s="13" t="s">
        <v>140</v>
      </c>
      <c r="J40" s="13" t="s">
        <v>1440</v>
      </c>
      <c r="K40" s="13" t="s">
        <v>1482</v>
      </c>
      <c r="L40" s="13" t="s">
        <v>1414</v>
      </c>
    </row>
    <row r="41" spans="1:12" ht="55.05" customHeight="1">
      <c r="A41" s="13">
        <v>30</v>
      </c>
      <c r="B41" s="13" t="s">
        <v>447</v>
      </c>
      <c r="C41" s="13" t="s">
        <v>1483</v>
      </c>
      <c r="D41" s="13" t="s">
        <v>1475</v>
      </c>
      <c r="E41" s="13" t="s">
        <v>1411</v>
      </c>
      <c r="F41" s="13">
        <v>1</v>
      </c>
      <c r="G41" s="13">
        <v>7</v>
      </c>
      <c r="H41" s="13" t="s">
        <v>248</v>
      </c>
      <c r="I41" s="13" t="s">
        <v>140</v>
      </c>
      <c r="J41" s="13" t="s">
        <v>1466</v>
      </c>
      <c r="K41" s="13" t="s">
        <v>1484</v>
      </c>
      <c r="L41" s="13" t="s">
        <v>1414</v>
      </c>
    </row>
    <row r="42" spans="1:12" ht="55.05" customHeight="1">
      <c r="A42" s="13">
        <v>31</v>
      </c>
      <c r="B42" s="13" t="s">
        <v>443</v>
      </c>
      <c r="C42" s="13" t="s">
        <v>1485</v>
      </c>
      <c r="D42" s="13" t="s">
        <v>1475</v>
      </c>
      <c r="E42" s="13" t="s">
        <v>1411</v>
      </c>
      <c r="F42" s="13">
        <v>1</v>
      </c>
      <c r="G42" s="13">
        <v>7</v>
      </c>
      <c r="H42" s="13" t="s">
        <v>248</v>
      </c>
      <c r="I42" s="13" t="s">
        <v>140</v>
      </c>
      <c r="J42" s="13" t="s">
        <v>1466</v>
      </c>
      <c r="K42" s="13" t="s">
        <v>1486</v>
      </c>
      <c r="L42" s="13" t="s">
        <v>1414</v>
      </c>
    </row>
    <row r="43" spans="1:12" ht="55.05" customHeight="1">
      <c r="A43" s="13">
        <v>32</v>
      </c>
      <c r="B43" s="13" t="s">
        <v>434</v>
      </c>
      <c r="C43" s="13" t="s">
        <v>1487</v>
      </c>
      <c r="D43" s="13" t="s">
        <v>1475</v>
      </c>
      <c r="E43" s="13" t="s">
        <v>1411</v>
      </c>
      <c r="F43" s="13">
        <v>1</v>
      </c>
      <c r="G43" s="13">
        <v>7</v>
      </c>
      <c r="H43" s="13" t="s">
        <v>248</v>
      </c>
      <c r="I43" s="13" t="s">
        <v>140</v>
      </c>
      <c r="J43" s="13" t="s">
        <v>1440</v>
      </c>
      <c r="K43" s="13" t="s">
        <v>1488</v>
      </c>
      <c r="L43" s="13" t="s">
        <v>1414</v>
      </c>
    </row>
    <row r="44" spans="1:12" ht="55.05" customHeight="1">
      <c r="A44" s="13">
        <v>33</v>
      </c>
      <c r="B44" s="13" t="s">
        <v>407</v>
      </c>
      <c r="C44" s="13" t="s">
        <v>1489</v>
      </c>
      <c r="D44" s="13" t="s">
        <v>1475</v>
      </c>
      <c r="E44" s="13" t="s">
        <v>1411</v>
      </c>
      <c r="F44" s="13">
        <v>1</v>
      </c>
      <c r="G44" s="13">
        <v>7</v>
      </c>
      <c r="H44" s="13" t="s">
        <v>248</v>
      </c>
      <c r="I44" s="13" t="s">
        <v>140</v>
      </c>
      <c r="J44" s="13" t="s">
        <v>1440</v>
      </c>
      <c r="K44" s="13" t="s">
        <v>1490</v>
      </c>
      <c r="L44" s="13" t="s">
        <v>1414</v>
      </c>
    </row>
    <row r="45" spans="1:12" ht="55.05" customHeight="1">
      <c r="A45" s="13">
        <v>34</v>
      </c>
      <c r="B45" s="13" t="s">
        <v>494</v>
      </c>
      <c r="C45" s="13" t="s">
        <v>1491</v>
      </c>
      <c r="D45" s="13" t="s">
        <v>1492</v>
      </c>
      <c r="E45" s="13" t="s">
        <v>1411</v>
      </c>
      <c r="F45" s="13">
        <v>1</v>
      </c>
      <c r="G45" s="13">
        <v>7</v>
      </c>
      <c r="H45" s="13" t="s">
        <v>248</v>
      </c>
      <c r="I45" s="13" t="s">
        <v>140</v>
      </c>
      <c r="J45" s="13" t="s">
        <v>1440</v>
      </c>
      <c r="K45" s="13" t="s">
        <v>1493</v>
      </c>
      <c r="L45" s="13" t="s">
        <v>1414</v>
      </c>
    </row>
    <row r="46" spans="1:12" ht="55.05" customHeight="1">
      <c r="A46" s="13">
        <v>35</v>
      </c>
      <c r="B46" s="13" t="s">
        <v>491</v>
      </c>
      <c r="C46" s="13" t="s">
        <v>1494</v>
      </c>
      <c r="D46" s="13" t="s">
        <v>1492</v>
      </c>
      <c r="E46" s="13" t="s">
        <v>1411</v>
      </c>
      <c r="F46" s="13">
        <v>1</v>
      </c>
      <c r="G46" s="13">
        <v>7</v>
      </c>
      <c r="H46" s="13" t="s">
        <v>248</v>
      </c>
      <c r="I46" s="13" t="s">
        <v>140</v>
      </c>
      <c r="J46" s="13" t="s">
        <v>1495</v>
      </c>
      <c r="K46" s="13" t="s">
        <v>1496</v>
      </c>
      <c r="L46" s="13" t="s">
        <v>1414</v>
      </c>
    </row>
    <row r="47" spans="1:12" ht="55.05" customHeight="1">
      <c r="A47" s="13">
        <v>36</v>
      </c>
      <c r="B47" s="13" t="s">
        <v>528</v>
      </c>
      <c r="C47" s="13" t="s">
        <v>1497</v>
      </c>
      <c r="D47" s="13" t="s">
        <v>1492</v>
      </c>
      <c r="E47" s="13" t="s">
        <v>1411</v>
      </c>
      <c r="F47" s="13">
        <v>1</v>
      </c>
      <c r="G47" s="13">
        <v>7</v>
      </c>
      <c r="H47" s="13" t="s">
        <v>248</v>
      </c>
      <c r="I47" s="13" t="s">
        <v>140</v>
      </c>
      <c r="J47" s="13" t="s">
        <v>1440</v>
      </c>
      <c r="K47" s="13" t="s">
        <v>1498</v>
      </c>
      <c r="L47" s="13" t="s">
        <v>1414</v>
      </c>
    </row>
    <row r="48" spans="1:12" ht="55.05" customHeight="1">
      <c r="A48" s="13">
        <v>37</v>
      </c>
      <c r="B48" s="13" t="s">
        <v>1499</v>
      </c>
      <c r="C48" s="13" t="s">
        <v>1500</v>
      </c>
      <c r="D48" s="13" t="s">
        <v>1492</v>
      </c>
      <c r="E48" s="13" t="s">
        <v>1411</v>
      </c>
      <c r="F48" s="13">
        <v>1</v>
      </c>
      <c r="G48" s="13">
        <v>6</v>
      </c>
      <c r="H48" s="13" t="s">
        <v>248</v>
      </c>
      <c r="I48" s="13" t="s">
        <v>140</v>
      </c>
      <c r="J48" s="13" t="s">
        <v>1433</v>
      </c>
      <c r="K48" s="13" t="s">
        <v>1501</v>
      </c>
      <c r="L48" s="13" t="s">
        <v>1414</v>
      </c>
    </row>
    <row r="49" spans="1:12" ht="55.05" customHeight="1">
      <c r="A49" s="13">
        <v>38</v>
      </c>
      <c r="B49" s="13" t="s">
        <v>1502</v>
      </c>
      <c r="C49" s="13" t="s">
        <v>1503</v>
      </c>
      <c r="D49" s="13" t="s">
        <v>1492</v>
      </c>
      <c r="E49" s="13" t="s">
        <v>1411</v>
      </c>
      <c r="F49" s="13">
        <v>1</v>
      </c>
      <c r="G49" s="13">
        <v>7</v>
      </c>
      <c r="H49" s="13" t="s">
        <v>248</v>
      </c>
      <c r="I49" s="13" t="s">
        <v>140</v>
      </c>
      <c r="J49" s="13" t="s">
        <v>1427</v>
      </c>
      <c r="K49" s="13" t="s">
        <v>1504</v>
      </c>
      <c r="L49" s="13" t="s">
        <v>1414</v>
      </c>
    </row>
    <row r="50" spans="1:12" ht="55.05" customHeight="1">
      <c r="A50" s="13">
        <v>39</v>
      </c>
      <c r="B50" s="13" t="s">
        <v>673</v>
      </c>
      <c r="C50" s="13" t="s">
        <v>1505</v>
      </c>
      <c r="D50" s="13" t="s">
        <v>1492</v>
      </c>
      <c r="E50" s="13" t="s">
        <v>1411</v>
      </c>
      <c r="F50" s="13">
        <v>1</v>
      </c>
      <c r="G50" s="13">
        <v>7</v>
      </c>
      <c r="H50" s="13" t="s">
        <v>248</v>
      </c>
      <c r="I50" s="13" t="s">
        <v>140</v>
      </c>
      <c r="J50" s="13" t="s">
        <v>1495</v>
      </c>
      <c r="K50" s="13" t="s">
        <v>1506</v>
      </c>
      <c r="L50" s="13" t="s">
        <v>1414</v>
      </c>
    </row>
    <row r="51" spans="1:12" ht="55.05" customHeight="1">
      <c r="A51" s="13">
        <v>40</v>
      </c>
      <c r="B51" s="13" t="s">
        <v>1507</v>
      </c>
      <c r="C51" s="13" t="s">
        <v>1508</v>
      </c>
      <c r="D51" s="13" t="s">
        <v>1492</v>
      </c>
      <c r="E51" s="13" t="s">
        <v>1411</v>
      </c>
      <c r="F51" s="13">
        <v>1</v>
      </c>
      <c r="G51" s="13">
        <v>7</v>
      </c>
      <c r="H51" s="13" t="s">
        <v>248</v>
      </c>
      <c r="I51" s="13" t="s">
        <v>1509</v>
      </c>
      <c r="J51" s="13" t="s">
        <v>1440</v>
      </c>
      <c r="K51" s="13" t="s">
        <v>1510</v>
      </c>
      <c r="L51" s="13" t="s">
        <v>1414</v>
      </c>
    </row>
    <row r="52" spans="1:12" ht="55.05" customHeight="1">
      <c r="A52" s="13">
        <v>41</v>
      </c>
      <c r="B52" s="13" t="s">
        <v>511</v>
      </c>
      <c r="C52" s="13" t="s">
        <v>1511</v>
      </c>
      <c r="D52" s="13" t="s">
        <v>1492</v>
      </c>
      <c r="E52" s="13" t="s">
        <v>1411</v>
      </c>
      <c r="F52" s="13">
        <v>1</v>
      </c>
      <c r="G52" s="13">
        <v>7</v>
      </c>
      <c r="H52" s="13" t="s">
        <v>248</v>
      </c>
      <c r="I52" s="13" t="s">
        <v>140</v>
      </c>
      <c r="J52" s="13" t="s">
        <v>1440</v>
      </c>
      <c r="K52" s="13" t="s">
        <v>1512</v>
      </c>
      <c r="L52" s="13" t="s">
        <v>1414</v>
      </c>
    </row>
    <row r="53" spans="1:12" ht="55.05" customHeight="1">
      <c r="A53" s="13">
        <v>42</v>
      </c>
      <c r="B53" s="13" t="s">
        <v>642</v>
      </c>
      <c r="C53" s="13" t="s">
        <v>1513</v>
      </c>
      <c r="D53" s="13" t="s">
        <v>1514</v>
      </c>
      <c r="E53" s="13" t="s">
        <v>1411</v>
      </c>
      <c r="F53" s="13">
        <v>1</v>
      </c>
      <c r="G53" s="13">
        <v>7</v>
      </c>
      <c r="H53" s="13" t="s">
        <v>248</v>
      </c>
      <c r="I53" s="13" t="s">
        <v>140</v>
      </c>
      <c r="J53" s="13" t="s">
        <v>1440</v>
      </c>
      <c r="K53" s="13" t="s">
        <v>1515</v>
      </c>
      <c r="L53" s="13" t="s">
        <v>1414</v>
      </c>
    </row>
    <row r="54" spans="1:12" ht="55.05" customHeight="1">
      <c r="A54" s="13">
        <v>43</v>
      </c>
      <c r="B54" s="13" t="s">
        <v>653</v>
      </c>
      <c r="C54" s="13" t="s">
        <v>1516</v>
      </c>
      <c r="D54" s="13" t="s">
        <v>1514</v>
      </c>
      <c r="E54" s="13" t="s">
        <v>1411</v>
      </c>
      <c r="F54" s="13">
        <v>1</v>
      </c>
      <c r="G54" s="13">
        <v>7</v>
      </c>
      <c r="H54" s="13" t="s">
        <v>248</v>
      </c>
      <c r="I54" s="13" t="s">
        <v>140</v>
      </c>
      <c r="J54" s="13" t="s">
        <v>1466</v>
      </c>
      <c r="K54" s="13" t="s">
        <v>1517</v>
      </c>
      <c r="L54" s="13" t="s">
        <v>1414</v>
      </c>
    </row>
    <row r="55" spans="1:12" ht="55.05" customHeight="1">
      <c r="A55" s="13">
        <v>44</v>
      </c>
      <c r="B55" s="13" t="s">
        <v>667</v>
      </c>
      <c r="C55" s="13" t="s">
        <v>1518</v>
      </c>
      <c r="D55" s="13" t="s">
        <v>1514</v>
      </c>
      <c r="E55" s="13" t="s">
        <v>1411</v>
      </c>
      <c r="F55" s="13">
        <v>1</v>
      </c>
      <c r="G55" s="13">
        <v>12</v>
      </c>
      <c r="H55" s="13" t="s">
        <v>248</v>
      </c>
      <c r="I55" s="13" t="s">
        <v>140</v>
      </c>
      <c r="J55" s="13" t="s">
        <v>1440</v>
      </c>
      <c r="K55" s="13" t="s">
        <v>1519</v>
      </c>
      <c r="L55" s="13" t="s">
        <v>1414</v>
      </c>
    </row>
    <row r="56" spans="1:12" ht="55.05" customHeight="1">
      <c r="A56" s="13">
        <v>45</v>
      </c>
      <c r="B56" s="13" t="s">
        <v>564</v>
      </c>
      <c r="C56" s="13" t="s">
        <v>1520</v>
      </c>
      <c r="D56" s="13" t="s">
        <v>1514</v>
      </c>
      <c r="E56" s="13" t="s">
        <v>1411</v>
      </c>
      <c r="F56" s="13">
        <v>1</v>
      </c>
      <c r="G56" s="13">
        <v>7</v>
      </c>
      <c r="H56" s="13" t="s">
        <v>248</v>
      </c>
      <c r="I56" s="13" t="s">
        <v>140</v>
      </c>
      <c r="J56" s="13" t="s">
        <v>1433</v>
      </c>
      <c r="K56" s="13" t="s">
        <v>1521</v>
      </c>
      <c r="L56" s="13" t="s">
        <v>1414</v>
      </c>
    </row>
    <row r="57" spans="1:12" ht="55.05" customHeight="1">
      <c r="A57" s="13">
        <v>46</v>
      </c>
      <c r="B57" s="13" t="s">
        <v>574</v>
      </c>
      <c r="C57" s="13" t="s">
        <v>1522</v>
      </c>
      <c r="D57" s="13" t="s">
        <v>1514</v>
      </c>
      <c r="E57" s="13" t="s">
        <v>1411</v>
      </c>
      <c r="F57" s="13">
        <v>1</v>
      </c>
      <c r="G57" s="13">
        <v>6</v>
      </c>
      <c r="H57" s="13" t="s">
        <v>248</v>
      </c>
      <c r="I57" s="13" t="s">
        <v>140</v>
      </c>
      <c r="J57" s="13" t="s">
        <v>1433</v>
      </c>
      <c r="K57" s="13" t="s">
        <v>1523</v>
      </c>
      <c r="L57" s="13" t="s">
        <v>1414</v>
      </c>
    </row>
    <row r="58" spans="1:12" ht="55.05" customHeight="1">
      <c r="A58" s="13">
        <v>47</v>
      </c>
      <c r="B58" s="13" t="s">
        <v>622</v>
      </c>
      <c r="C58" s="13" t="s">
        <v>1524</v>
      </c>
      <c r="D58" s="13" t="s">
        <v>1514</v>
      </c>
      <c r="E58" s="13" t="s">
        <v>1411</v>
      </c>
      <c r="F58" s="13">
        <v>1</v>
      </c>
      <c r="G58" s="13">
        <v>7</v>
      </c>
      <c r="H58" s="13" t="s">
        <v>248</v>
      </c>
      <c r="I58" s="13" t="s">
        <v>140</v>
      </c>
      <c r="J58" s="13" t="s">
        <v>1440</v>
      </c>
      <c r="K58" s="13" t="s">
        <v>1525</v>
      </c>
      <c r="L58" s="13" t="s">
        <v>1414</v>
      </c>
    </row>
    <row r="59" spans="1:12" ht="55.05" customHeight="1">
      <c r="A59" s="13">
        <v>48</v>
      </c>
      <c r="B59" s="13" t="s">
        <v>681</v>
      </c>
      <c r="C59" s="13" t="s">
        <v>1526</v>
      </c>
      <c r="D59" s="13" t="s">
        <v>1527</v>
      </c>
      <c r="E59" s="13" t="s">
        <v>1411</v>
      </c>
      <c r="F59" s="13">
        <v>1</v>
      </c>
      <c r="G59" s="13">
        <v>6</v>
      </c>
      <c r="H59" s="13" t="s">
        <v>248</v>
      </c>
      <c r="I59" s="13" t="s">
        <v>140</v>
      </c>
      <c r="J59" s="13" t="s">
        <v>1440</v>
      </c>
      <c r="K59" s="13" t="s">
        <v>1528</v>
      </c>
      <c r="L59" s="13" t="s">
        <v>1414</v>
      </c>
    </row>
    <row r="60" spans="1:12" ht="55.05" customHeight="1">
      <c r="A60" s="13">
        <v>49</v>
      </c>
      <c r="B60" s="13" t="s">
        <v>667</v>
      </c>
      <c r="C60" s="13" t="s">
        <v>1518</v>
      </c>
      <c r="D60" s="13" t="s">
        <v>1527</v>
      </c>
      <c r="E60" s="13" t="s">
        <v>1411</v>
      </c>
      <c r="F60" s="13">
        <v>1</v>
      </c>
      <c r="G60" s="13">
        <v>12</v>
      </c>
      <c r="H60" s="13" t="s">
        <v>1529</v>
      </c>
      <c r="I60" s="13" t="s">
        <v>140</v>
      </c>
      <c r="J60" s="13" t="s">
        <v>1440</v>
      </c>
      <c r="K60" s="13" t="s">
        <v>1530</v>
      </c>
      <c r="L60" s="13" t="s">
        <v>1414</v>
      </c>
    </row>
    <row r="61" spans="1:12" ht="55.05" customHeight="1">
      <c r="A61" s="13">
        <v>50</v>
      </c>
      <c r="B61" s="13" t="s">
        <v>516</v>
      </c>
      <c r="C61" s="13" t="s">
        <v>1531</v>
      </c>
      <c r="D61" s="13" t="s">
        <v>1527</v>
      </c>
      <c r="E61" s="13" t="s">
        <v>1411</v>
      </c>
      <c r="F61" s="13">
        <v>1</v>
      </c>
      <c r="G61" s="13">
        <v>7</v>
      </c>
      <c r="H61" s="13" t="s">
        <v>248</v>
      </c>
      <c r="I61" s="13" t="s">
        <v>140</v>
      </c>
      <c r="J61" s="13" t="s">
        <v>1440</v>
      </c>
      <c r="K61" s="13" t="s">
        <v>1532</v>
      </c>
      <c r="L61" s="13" t="s">
        <v>1414</v>
      </c>
    </row>
    <row r="62" spans="1:12" ht="55.05" customHeight="1">
      <c r="A62" s="13">
        <v>51</v>
      </c>
      <c r="B62" s="13" t="s">
        <v>561</v>
      </c>
      <c r="C62" s="13" t="s">
        <v>1533</v>
      </c>
      <c r="D62" s="13" t="s">
        <v>1527</v>
      </c>
      <c r="E62" s="13" t="s">
        <v>1411</v>
      </c>
      <c r="F62" s="13">
        <v>1</v>
      </c>
      <c r="G62" s="13">
        <v>7</v>
      </c>
      <c r="H62" s="13" t="s">
        <v>248</v>
      </c>
      <c r="I62" s="13" t="s">
        <v>140</v>
      </c>
      <c r="J62" s="13" t="s">
        <v>1440</v>
      </c>
      <c r="K62" s="13" t="s">
        <v>1534</v>
      </c>
      <c r="L62" s="13" t="s">
        <v>1414</v>
      </c>
    </row>
    <row r="63" spans="1:12" ht="55.05" customHeight="1">
      <c r="A63" s="13">
        <v>52</v>
      </c>
      <c r="B63" s="13" t="s">
        <v>604</v>
      </c>
      <c r="C63" s="13" t="s">
        <v>1535</v>
      </c>
      <c r="D63" s="13" t="s">
        <v>1527</v>
      </c>
      <c r="E63" s="13" t="s">
        <v>1411</v>
      </c>
      <c r="F63" s="13">
        <v>1</v>
      </c>
      <c r="G63" s="13">
        <v>6</v>
      </c>
      <c r="H63" s="13" t="s">
        <v>248</v>
      </c>
      <c r="I63" s="13" t="s">
        <v>140</v>
      </c>
      <c r="J63" s="13" t="s">
        <v>1440</v>
      </c>
      <c r="K63" s="13" t="s">
        <v>1536</v>
      </c>
      <c r="L63" s="13" t="s">
        <v>1414</v>
      </c>
    </row>
    <row r="64" spans="1:12" ht="55.05" customHeight="1">
      <c r="A64" s="13">
        <v>53</v>
      </c>
      <c r="B64" s="13" t="s">
        <v>536</v>
      </c>
      <c r="C64" s="13" t="s">
        <v>1537</v>
      </c>
      <c r="D64" s="13" t="s">
        <v>1527</v>
      </c>
      <c r="E64" s="13" t="s">
        <v>1411</v>
      </c>
      <c r="F64" s="13">
        <v>1</v>
      </c>
      <c r="G64" s="13">
        <v>7</v>
      </c>
      <c r="H64" s="13" t="s">
        <v>248</v>
      </c>
      <c r="I64" s="13" t="s">
        <v>140</v>
      </c>
      <c r="J64" s="13" t="s">
        <v>1440</v>
      </c>
      <c r="K64" s="13" t="s">
        <v>1538</v>
      </c>
      <c r="L64" s="13" t="s">
        <v>1414</v>
      </c>
    </row>
    <row r="65" spans="1:12" ht="55.05" customHeight="1">
      <c r="A65" s="13">
        <v>54</v>
      </c>
      <c r="B65" s="13" t="s">
        <v>686</v>
      </c>
      <c r="C65" s="13" t="s">
        <v>1539</v>
      </c>
      <c r="D65" s="13" t="s">
        <v>1527</v>
      </c>
      <c r="E65" s="13" t="s">
        <v>1411</v>
      </c>
      <c r="F65" s="13">
        <v>1</v>
      </c>
      <c r="G65" s="13">
        <v>6</v>
      </c>
      <c r="H65" s="13" t="s">
        <v>248</v>
      </c>
      <c r="I65" s="13" t="s">
        <v>140</v>
      </c>
      <c r="J65" s="13" t="s">
        <v>1440</v>
      </c>
      <c r="K65" s="13" t="s">
        <v>1540</v>
      </c>
      <c r="L65" s="13" t="s">
        <v>1414</v>
      </c>
    </row>
    <row r="66" spans="1:12" ht="55.05" customHeight="1">
      <c r="A66" s="13">
        <v>55</v>
      </c>
      <c r="B66" s="13" t="s">
        <v>628</v>
      </c>
      <c r="C66" s="13" t="s">
        <v>1541</v>
      </c>
      <c r="D66" s="13" t="s">
        <v>1542</v>
      </c>
      <c r="E66" s="13" t="s">
        <v>1411</v>
      </c>
      <c r="F66" s="13">
        <v>1</v>
      </c>
      <c r="G66" s="13">
        <v>6</v>
      </c>
      <c r="H66" s="13" t="s">
        <v>248</v>
      </c>
      <c r="I66" s="13" t="s">
        <v>140</v>
      </c>
      <c r="J66" s="13" t="s">
        <v>1433</v>
      </c>
      <c r="K66" s="13" t="s">
        <v>1543</v>
      </c>
      <c r="L66" s="13" t="s">
        <v>1414</v>
      </c>
    </row>
  </sheetData>
  <mergeCells count="1">
    <mergeCell ref="A1:L2"/>
  </mergeCells>
  <phoneticPr fontId="9" type="noConversion"/>
  <conditionalFormatting sqref="H12:H66">
    <cfRule type="containsText" dxfId="10" priority="1" operator="containsText" text="是"/>
  </conditionalFormatting>
  <conditionalFormatting sqref="I12:I66">
    <cfRule type="containsText" dxfId="9" priority="2" operator="containsText" text="否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showGridLines="0" workbookViewId="0">
      <selection activeCell="A50" sqref="A50:E50"/>
    </sheetView>
  </sheetViews>
  <sheetFormatPr defaultRowHeight="13.5"/>
  <cols>
    <col min="1" max="1" width="30" customWidth="1"/>
    <col min="2" max="2" width="18" customWidth="1"/>
    <col min="3" max="3" width="34" customWidth="1"/>
    <col min="4" max="4" width="72" customWidth="1"/>
    <col min="5" max="5" width="42" customWidth="1"/>
  </cols>
  <sheetData>
    <row r="1" spans="1:5">
      <c r="A1" s="21" t="s">
        <v>1544</v>
      </c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4" spans="1:5">
      <c r="A4" s="12" t="s">
        <v>1545</v>
      </c>
      <c r="B4" s="12" t="s">
        <v>1546</v>
      </c>
      <c r="C4" s="12" t="s">
        <v>1547</v>
      </c>
      <c r="D4" s="12" t="s">
        <v>1548</v>
      </c>
      <c r="E4" s="12" t="s">
        <v>1384</v>
      </c>
    </row>
    <row r="5" spans="1:5" ht="45" customHeight="1">
      <c r="A5" s="13" t="s">
        <v>1549</v>
      </c>
      <c r="B5" s="13" t="s">
        <v>35</v>
      </c>
      <c r="C5" s="13" t="s">
        <v>1550</v>
      </c>
      <c r="D5" s="13" t="s">
        <v>1551</v>
      </c>
      <c r="E5" s="13" t="s">
        <v>1552</v>
      </c>
    </row>
    <row r="6" spans="1:5" ht="45" customHeight="1">
      <c r="A6" s="13" t="s">
        <v>1553</v>
      </c>
      <c r="B6" s="13" t="s">
        <v>35</v>
      </c>
      <c r="C6" s="13" t="s">
        <v>1554</v>
      </c>
      <c r="D6" s="13" t="s">
        <v>1555</v>
      </c>
      <c r="E6" s="13" t="s">
        <v>1556</v>
      </c>
    </row>
    <row r="7" spans="1:5" ht="45" customHeight="1">
      <c r="A7" s="13" t="s">
        <v>1557</v>
      </c>
      <c r="B7" s="13" t="s">
        <v>35</v>
      </c>
      <c r="C7" s="13" t="s">
        <v>1558</v>
      </c>
      <c r="D7" s="13" t="s">
        <v>1559</v>
      </c>
      <c r="E7" s="13" t="s">
        <v>1560</v>
      </c>
    </row>
    <row r="8" spans="1:5" ht="45" customHeight="1">
      <c r="A8" s="13" t="s">
        <v>1561</v>
      </c>
      <c r="B8" s="13" t="s">
        <v>1562</v>
      </c>
      <c r="C8" s="13" t="s">
        <v>1563</v>
      </c>
      <c r="D8" s="13" t="s">
        <v>761</v>
      </c>
      <c r="E8" s="13" t="s">
        <v>1564</v>
      </c>
    </row>
    <row r="9" spans="1:5" ht="45" customHeight="1">
      <c r="A9" s="13" t="s">
        <v>1565</v>
      </c>
      <c r="B9" s="13" t="s">
        <v>39</v>
      </c>
      <c r="C9" s="13" t="s">
        <v>1566</v>
      </c>
      <c r="D9" s="13" t="s">
        <v>757</v>
      </c>
      <c r="E9" s="13" t="s">
        <v>1567</v>
      </c>
    </row>
    <row r="10" spans="1:5" ht="45" customHeight="1">
      <c r="A10" s="13" t="s">
        <v>1568</v>
      </c>
      <c r="B10" s="13" t="s">
        <v>39</v>
      </c>
      <c r="C10" s="13" t="s">
        <v>1569</v>
      </c>
      <c r="D10" s="13" t="s">
        <v>970</v>
      </c>
      <c r="E10" s="13" t="s">
        <v>1570</v>
      </c>
    </row>
    <row r="11" spans="1:5" ht="45" customHeight="1">
      <c r="A11" s="13" t="s">
        <v>1571</v>
      </c>
      <c r="B11" s="13" t="s">
        <v>39</v>
      </c>
      <c r="C11" s="13" t="s">
        <v>1572</v>
      </c>
      <c r="D11" s="13" t="s">
        <v>1573</v>
      </c>
      <c r="E11" s="13" t="s">
        <v>1574</v>
      </c>
    </row>
    <row r="12" spans="1:5" ht="45" customHeight="1">
      <c r="A12" s="13" t="s">
        <v>1575</v>
      </c>
      <c r="B12" s="13" t="s">
        <v>39</v>
      </c>
      <c r="C12" s="13" t="s">
        <v>1576</v>
      </c>
      <c r="D12" s="13" t="s">
        <v>1577</v>
      </c>
      <c r="E12" s="13" t="s">
        <v>1578</v>
      </c>
    </row>
    <row r="13" spans="1:5" ht="45" customHeight="1">
      <c r="A13" s="13" t="s">
        <v>1579</v>
      </c>
      <c r="B13" s="13" t="s">
        <v>770</v>
      </c>
      <c r="C13" s="13" t="s">
        <v>1580</v>
      </c>
      <c r="D13" s="13" t="s">
        <v>772</v>
      </c>
      <c r="E13" s="13"/>
    </row>
    <row r="14" spans="1:5" ht="45" customHeight="1">
      <c r="A14" s="13" t="s">
        <v>1581</v>
      </c>
      <c r="B14" s="13" t="s">
        <v>770</v>
      </c>
      <c r="C14" s="13" t="s">
        <v>1582</v>
      </c>
      <c r="D14" s="13" t="s">
        <v>1583</v>
      </c>
      <c r="E14" s="13" t="s">
        <v>1584</v>
      </c>
    </row>
    <row r="15" spans="1:5" ht="45" customHeight="1">
      <c r="A15" s="13" t="s">
        <v>1585</v>
      </c>
      <c r="B15" s="13" t="s">
        <v>770</v>
      </c>
      <c r="C15" s="13" t="s">
        <v>1586</v>
      </c>
      <c r="D15" s="13" t="s">
        <v>1587</v>
      </c>
      <c r="E15" s="13"/>
    </row>
    <row r="16" spans="1:5" ht="45" customHeight="1">
      <c r="A16" s="13" t="s">
        <v>1588</v>
      </c>
      <c r="B16" s="13" t="s">
        <v>770</v>
      </c>
      <c r="C16" s="13" t="s">
        <v>1589</v>
      </c>
      <c r="D16" s="13" t="s">
        <v>1590</v>
      </c>
      <c r="E16" s="13" t="s">
        <v>1591</v>
      </c>
    </row>
    <row r="17" spans="1:5" ht="45" customHeight="1">
      <c r="A17" s="13" t="s">
        <v>1592</v>
      </c>
      <c r="B17" s="13" t="s">
        <v>770</v>
      </c>
      <c r="C17" s="13" t="s">
        <v>1593</v>
      </c>
      <c r="D17" s="13" t="s">
        <v>835</v>
      </c>
      <c r="E17" s="13"/>
    </row>
    <row r="18" spans="1:5" ht="45" customHeight="1">
      <c r="A18" s="13" t="s">
        <v>1594</v>
      </c>
      <c r="B18" s="13" t="s">
        <v>770</v>
      </c>
      <c r="C18" s="13" t="s">
        <v>1595</v>
      </c>
      <c r="D18" s="13" t="s">
        <v>1596</v>
      </c>
      <c r="E18" s="13" t="s">
        <v>1597</v>
      </c>
    </row>
    <row r="19" spans="1:5" ht="45" customHeight="1">
      <c r="A19" s="13" t="s">
        <v>1598</v>
      </c>
      <c r="B19" s="13" t="s">
        <v>770</v>
      </c>
      <c r="C19" s="13" t="s">
        <v>1599</v>
      </c>
      <c r="D19" s="13" t="s">
        <v>1600</v>
      </c>
      <c r="E19" s="13" t="s">
        <v>1601</v>
      </c>
    </row>
    <row r="20" spans="1:5" ht="45" customHeight="1">
      <c r="A20" s="13" t="s">
        <v>1602</v>
      </c>
      <c r="B20" s="13" t="s">
        <v>35</v>
      </c>
      <c r="C20" s="13" t="s">
        <v>1603</v>
      </c>
      <c r="D20" s="13" t="s">
        <v>1604</v>
      </c>
      <c r="E20" s="13" t="s">
        <v>1605</v>
      </c>
    </row>
    <row r="21" spans="1:5" ht="45" customHeight="1">
      <c r="A21" s="13" t="s">
        <v>1606</v>
      </c>
      <c r="B21" s="13" t="s">
        <v>770</v>
      </c>
      <c r="C21" s="13" t="s">
        <v>1603</v>
      </c>
      <c r="D21" s="13" t="s">
        <v>1607</v>
      </c>
      <c r="E21" s="13" t="s">
        <v>1608</v>
      </c>
    </row>
    <row r="22" spans="1:5" ht="45" customHeight="1">
      <c r="A22" s="13" t="s">
        <v>1609</v>
      </c>
      <c r="B22" s="13" t="s">
        <v>39</v>
      </c>
      <c r="C22" s="13" t="s">
        <v>1610</v>
      </c>
      <c r="D22" s="13" t="s">
        <v>1611</v>
      </c>
      <c r="E22" s="13" t="s">
        <v>1612</v>
      </c>
    </row>
    <row r="23" spans="1:5" ht="45" customHeight="1">
      <c r="A23" s="13" t="s">
        <v>1613</v>
      </c>
      <c r="B23" s="13" t="s">
        <v>39</v>
      </c>
      <c r="C23" s="13" t="s">
        <v>1610</v>
      </c>
      <c r="D23" s="13" t="s">
        <v>1614</v>
      </c>
      <c r="E23" s="13"/>
    </row>
    <row r="24" spans="1:5" ht="45" customHeight="1">
      <c r="A24" s="13" t="s">
        <v>1615</v>
      </c>
      <c r="B24" s="13" t="s">
        <v>39</v>
      </c>
      <c r="C24" s="13" t="s">
        <v>1610</v>
      </c>
      <c r="D24" s="13" t="s">
        <v>1616</v>
      </c>
      <c r="E24" s="13"/>
    </row>
    <row r="25" spans="1:5" ht="45" customHeight="1">
      <c r="A25" s="13" t="s">
        <v>1617</v>
      </c>
      <c r="B25" s="13" t="s">
        <v>1618</v>
      </c>
      <c r="C25" s="13" t="s">
        <v>1619</v>
      </c>
      <c r="D25" s="13" t="s">
        <v>1620</v>
      </c>
      <c r="E25" s="13" t="s">
        <v>1621</v>
      </c>
    </row>
    <row r="26" spans="1:5" ht="45" customHeight="1">
      <c r="A26" s="13" t="s">
        <v>1622</v>
      </c>
      <c r="B26" s="13" t="s">
        <v>35</v>
      </c>
      <c r="C26" s="13" t="s">
        <v>1623</v>
      </c>
      <c r="D26" s="13" t="s">
        <v>461</v>
      </c>
      <c r="E26" s="13" t="s">
        <v>1624</v>
      </c>
    </row>
    <row r="27" spans="1:5" ht="45" customHeight="1">
      <c r="A27" s="13" t="s">
        <v>1625</v>
      </c>
      <c r="B27" s="13" t="s">
        <v>770</v>
      </c>
      <c r="C27" s="13" t="s">
        <v>1626</v>
      </c>
      <c r="D27" s="13" t="s">
        <v>386</v>
      </c>
      <c r="E27" s="13" t="s">
        <v>1627</v>
      </c>
    </row>
    <row r="28" spans="1:5" ht="45" customHeight="1">
      <c r="A28" s="13" t="s">
        <v>1628</v>
      </c>
      <c r="B28" s="13" t="s">
        <v>35</v>
      </c>
      <c r="C28" s="13" t="s">
        <v>1629</v>
      </c>
      <c r="D28" s="13" t="s">
        <v>477</v>
      </c>
      <c r="E28" s="13" t="s">
        <v>1630</v>
      </c>
    </row>
    <row r="29" spans="1:5" ht="45" customHeight="1">
      <c r="A29" s="13" t="s">
        <v>1631</v>
      </c>
      <c r="B29" s="13" t="s">
        <v>35</v>
      </c>
      <c r="C29" s="13" t="s">
        <v>1629</v>
      </c>
      <c r="D29" s="13" t="s">
        <v>236</v>
      </c>
      <c r="E29" s="13" t="s">
        <v>1632</v>
      </c>
    </row>
    <row r="30" spans="1:5" ht="45" customHeight="1">
      <c r="A30" s="13" t="s">
        <v>1633</v>
      </c>
      <c r="B30" s="13" t="s">
        <v>35</v>
      </c>
      <c r="C30" s="13" t="s">
        <v>1629</v>
      </c>
      <c r="D30" s="13" t="s">
        <v>663</v>
      </c>
      <c r="E30" s="13" t="s">
        <v>1634</v>
      </c>
    </row>
    <row r="31" spans="1:5" ht="45" customHeight="1">
      <c r="A31" s="13" t="s">
        <v>1635</v>
      </c>
      <c r="B31" s="13" t="s">
        <v>770</v>
      </c>
      <c r="C31" s="13" t="s">
        <v>1636</v>
      </c>
      <c r="D31" s="13" t="s">
        <v>1637</v>
      </c>
      <c r="E31" s="13" t="s">
        <v>1638</v>
      </c>
    </row>
    <row r="32" spans="1:5" ht="45" customHeight="1">
      <c r="A32" s="13" t="s">
        <v>1639</v>
      </c>
      <c r="B32" s="13" t="s">
        <v>770</v>
      </c>
      <c r="C32" s="13" t="s">
        <v>1640</v>
      </c>
      <c r="D32" s="13" t="s">
        <v>1049</v>
      </c>
      <c r="E32" s="13" t="s">
        <v>1641</v>
      </c>
    </row>
    <row r="33" spans="1:5" ht="45" customHeight="1">
      <c r="A33" s="13" t="s">
        <v>1642</v>
      </c>
      <c r="B33" s="13" t="s">
        <v>35</v>
      </c>
      <c r="C33" s="13" t="s">
        <v>1643</v>
      </c>
      <c r="D33" s="13" t="s">
        <v>1169</v>
      </c>
      <c r="E33" s="13" t="s">
        <v>1644</v>
      </c>
    </row>
    <row r="34" spans="1:5" ht="45" customHeight="1">
      <c r="A34" s="13" t="s">
        <v>1645</v>
      </c>
      <c r="B34" s="13" t="s">
        <v>35</v>
      </c>
      <c r="C34" s="13" t="s">
        <v>128</v>
      </c>
      <c r="D34" s="13" t="s">
        <v>1646</v>
      </c>
      <c r="E34" s="13" t="s">
        <v>1647</v>
      </c>
    </row>
    <row r="35" spans="1:5" ht="45" customHeight="1">
      <c r="A35" s="13" t="s">
        <v>1648</v>
      </c>
      <c r="B35" s="13" t="s">
        <v>770</v>
      </c>
      <c r="C35" s="13" t="s">
        <v>1649</v>
      </c>
      <c r="D35" s="13" t="s">
        <v>1650</v>
      </c>
      <c r="E35" s="13" t="s">
        <v>1651</v>
      </c>
    </row>
    <row r="36" spans="1:5" ht="45" customHeight="1">
      <c r="A36" s="13" t="s">
        <v>1652</v>
      </c>
      <c r="B36" s="13" t="s">
        <v>35</v>
      </c>
      <c r="C36" s="13" t="s">
        <v>1653</v>
      </c>
      <c r="D36" s="13" t="s">
        <v>1654</v>
      </c>
      <c r="E36" s="13" t="s">
        <v>1655</v>
      </c>
    </row>
    <row r="37" spans="1:5" ht="45" customHeight="1">
      <c r="A37" s="13" t="s">
        <v>1656</v>
      </c>
      <c r="B37" s="13" t="s">
        <v>770</v>
      </c>
      <c r="C37" s="13" t="s">
        <v>1657</v>
      </c>
      <c r="D37" s="13" t="s">
        <v>1658</v>
      </c>
      <c r="E37" s="13" t="s">
        <v>1659</v>
      </c>
    </row>
    <row r="38" spans="1:5" ht="45" customHeight="1">
      <c r="A38" s="13" t="s">
        <v>1660</v>
      </c>
      <c r="B38" s="13" t="s">
        <v>770</v>
      </c>
      <c r="C38" s="13" t="s">
        <v>1657</v>
      </c>
      <c r="D38" s="13" t="s">
        <v>1661</v>
      </c>
      <c r="E38" s="13" t="s">
        <v>1662</v>
      </c>
    </row>
    <row r="39" spans="1:5" ht="45" customHeight="1">
      <c r="A39" s="13" t="s">
        <v>1663</v>
      </c>
      <c r="B39" s="13" t="s">
        <v>770</v>
      </c>
      <c r="C39" s="13" t="s">
        <v>1657</v>
      </c>
      <c r="D39" s="13" t="s">
        <v>1664</v>
      </c>
      <c r="E39" s="13" t="s">
        <v>1665</v>
      </c>
    </row>
    <row r="40" spans="1:5" ht="45" customHeight="1">
      <c r="A40" s="13" t="s">
        <v>1666</v>
      </c>
      <c r="B40" s="13" t="s">
        <v>1667</v>
      </c>
      <c r="C40" s="13" t="s">
        <v>1657</v>
      </c>
      <c r="D40" s="13" t="s">
        <v>1668</v>
      </c>
      <c r="E40" s="13" t="s">
        <v>1669</v>
      </c>
    </row>
    <row r="41" spans="1:5" ht="45" customHeight="1">
      <c r="A41" s="13" t="s">
        <v>1670</v>
      </c>
      <c r="B41" s="13" t="s">
        <v>35</v>
      </c>
      <c r="C41" s="13" t="s">
        <v>1671</v>
      </c>
      <c r="D41" s="13" t="s">
        <v>1672</v>
      </c>
      <c r="E41" s="13" t="s">
        <v>1673</v>
      </c>
    </row>
    <row r="42" spans="1:5" ht="24.75">
      <c r="A42" s="20" t="s">
        <v>2354</v>
      </c>
      <c r="B42" s="20" t="s">
        <v>2355</v>
      </c>
      <c r="C42" s="20" t="s">
        <v>2356</v>
      </c>
      <c r="D42" s="20" t="s">
        <v>2357</v>
      </c>
      <c r="E42" s="20" t="s">
        <v>2358</v>
      </c>
    </row>
    <row r="43" spans="1:5" ht="37.15">
      <c r="A43" s="20" t="s">
        <v>2359</v>
      </c>
      <c r="B43" s="20" t="s">
        <v>770</v>
      </c>
      <c r="C43" s="20" t="s">
        <v>2360</v>
      </c>
      <c r="D43" s="20" t="s">
        <v>2361</v>
      </c>
      <c r="E43" s="20" t="s">
        <v>2362</v>
      </c>
    </row>
    <row r="44" spans="1:5" ht="24.75">
      <c r="A44" s="20" t="s">
        <v>2363</v>
      </c>
      <c r="B44" s="20" t="s">
        <v>35</v>
      </c>
      <c r="C44" s="20" t="s">
        <v>2364</v>
      </c>
      <c r="D44" s="20" t="s">
        <v>2365</v>
      </c>
      <c r="E44" s="20" t="s">
        <v>2366</v>
      </c>
    </row>
    <row r="45" spans="1:5" ht="24.75">
      <c r="A45" s="20" t="s">
        <v>2367</v>
      </c>
      <c r="B45" s="20" t="s">
        <v>770</v>
      </c>
      <c r="C45" s="20" t="s">
        <v>2368</v>
      </c>
      <c r="D45" s="20" t="s">
        <v>2369</v>
      </c>
      <c r="E45" s="20" t="s">
        <v>2370</v>
      </c>
    </row>
    <row r="46" spans="1:5" ht="24.75">
      <c r="A46" s="20" t="s">
        <v>2371</v>
      </c>
      <c r="B46" s="20" t="s">
        <v>2372</v>
      </c>
      <c r="C46" s="20" t="s">
        <v>2360</v>
      </c>
      <c r="D46" s="20" t="s">
        <v>2373</v>
      </c>
      <c r="E46" s="20" t="s">
        <v>2374</v>
      </c>
    </row>
    <row r="47" spans="1:5" ht="24.75">
      <c r="A47" s="20" t="s">
        <v>2375</v>
      </c>
      <c r="B47" s="20" t="s">
        <v>2355</v>
      </c>
      <c r="C47" s="20" t="s">
        <v>2376</v>
      </c>
      <c r="D47" s="20" t="s">
        <v>2377</v>
      </c>
      <c r="E47" s="20" t="s">
        <v>2378</v>
      </c>
    </row>
    <row r="48" spans="1:5" ht="37.15">
      <c r="A48" s="20" t="s">
        <v>2379</v>
      </c>
      <c r="B48" s="20" t="s">
        <v>2372</v>
      </c>
      <c r="C48" s="20" t="s">
        <v>2380</v>
      </c>
      <c r="D48" s="20" t="s">
        <v>2357</v>
      </c>
      <c r="E48" s="20" t="s">
        <v>2381</v>
      </c>
    </row>
    <row r="49" spans="1:5" ht="49.5">
      <c r="A49" s="20" t="s">
        <v>2382</v>
      </c>
      <c r="B49" s="20" t="s">
        <v>2355</v>
      </c>
      <c r="C49" s="20" t="s">
        <v>2383</v>
      </c>
      <c r="D49" s="20" t="s">
        <v>2377</v>
      </c>
      <c r="E49" s="20" t="s">
        <v>2384</v>
      </c>
    </row>
    <row r="50" spans="1:5" ht="61.9">
      <c r="A50" s="20" t="s">
        <v>2472</v>
      </c>
      <c r="B50" s="20" t="s">
        <v>2473</v>
      </c>
      <c r="C50" s="20" t="s">
        <v>2474</v>
      </c>
      <c r="D50" s="20" t="s">
        <v>2475</v>
      </c>
      <c r="E50" s="20" t="s">
        <v>2476</v>
      </c>
    </row>
  </sheetData>
  <mergeCells count="1">
    <mergeCell ref="A1:E2"/>
  </mergeCells>
  <phoneticPr fontId="9" type="noConversion"/>
  <conditionalFormatting sqref="B5:B50">
    <cfRule type="containsText" dxfId="8" priority="1" operator="containsText" text="官方"/>
    <cfRule type="containsText" dxfId="7" priority="2" operator="containsText" text="机构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showGridLines="0" workbookViewId="0">
      <selection sqref="A1:B2"/>
    </sheetView>
  </sheetViews>
  <sheetFormatPr defaultRowHeight="13.5"/>
  <cols>
    <col min="1" max="1" width="25" customWidth="1"/>
    <col min="2" max="2" width="105" customWidth="1"/>
  </cols>
  <sheetData>
    <row r="1" spans="1:2">
      <c r="A1" s="21" t="s">
        <v>1674</v>
      </c>
      <c r="B1" s="21"/>
    </row>
    <row r="2" spans="1:2">
      <c r="A2" s="21"/>
      <c r="B2" s="21"/>
    </row>
    <row r="4" spans="1:2">
      <c r="A4" s="12" t="s">
        <v>1675</v>
      </c>
      <c r="B4" s="12" t="s">
        <v>1676</v>
      </c>
    </row>
    <row r="5" spans="1:2" ht="58.05" customHeight="1">
      <c r="A5" s="13" t="s">
        <v>1550</v>
      </c>
      <c r="B5" s="13" t="s">
        <v>1677</v>
      </c>
    </row>
    <row r="6" spans="1:2" ht="58.05" customHeight="1">
      <c r="A6" s="13" t="s">
        <v>1678</v>
      </c>
      <c r="B6" s="13" t="s">
        <v>1679</v>
      </c>
    </row>
    <row r="7" spans="1:2" ht="58.05" customHeight="1">
      <c r="A7" s="13" t="s">
        <v>1680</v>
      </c>
      <c r="B7" s="13" t="s">
        <v>1681</v>
      </c>
    </row>
    <row r="8" spans="1:2" ht="58.05" customHeight="1">
      <c r="A8" s="13" t="s">
        <v>1682</v>
      </c>
      <c r="B8" s="13" t="s">
        <v>1683</v>
      </c>
    </row>
    <row r="9" spans="1:2" ht="58.05" customHeight="1">
      <c r="A9" s="13" t="s">
        <v>1603</v>
      </c>
      <c r="B9" s="18" t="s">
        <v>2353</v>
      </c>
    </row>
    <row r="10" spans="1:2" ht="58.05" customHeight="1">
      <c r="A10" s="13" t="s">
        <v>1684</v>
      </c>
      <c r="B10" s="13" t="s">
        <v>1685</v>
      </c>
    </row>
    <row r="11" spans="1:2" ht="58.05" customHeight="1">
      <c r="A11" s="13" t="s">
        <v>1686</v>
      </c>
      <c r="B11" s="13" t="s">
        <v>1687</v>
      </c>
    </row>
    <row r="12" spans="1:2" ht="58.05" customHeight="1">
      <c r="A12" s="13" t="s">
        <v>751</v>
      </c>
      <c r="B12" s="13" t="s">
        <v>1688</v>
      </c>
    </row>
    <row r="13" spans="1:2" ht="58.05" customHeight="1">
      <c r="A13" s="13" t="s">
        <v>1689</v>
      </c>
      <c r="B13" s="13" t="s">
        <v>1690</v>
      </c>
    </row>
    <row r="14" spans="1:2" ht="58.05" customHeight="1">
      <c r="A14" s="13" t="s">
        <v>1691</v>
      </c>
      <c r="B14" s="13" t="s">
        <v>1692</v>
      </c>
    </row>
    <row r="15" spans="1:2" ht="58.05" customHeight="1">
      <c r="A15" s="13" t="s">
        <v>1693</v>
      </c>
      <c r="B15" s="13" t="s">
        <v>1694</v>
      </c>
    </row>
    <row r="16" spans="1:2" ht="58.05" customHeight="1">
      <c r="A16" s="13" t="s">
        <v>1695</v>
      </c>
      <c r="B16" s="13" t="s">
        <v>1696</v>
      </c>
    </row>
    <row r="17" spans="1:2" ht="58.05" customHeight="1">
      <c r="A17" s="13" t="s">
        <v>1599</v>
      </c>
      <c r="B17" s="13" t="s">
        <v>1697</v>
      </c>
    </row>
    <row r="18" spans="1:2" ht="58.05" customHeight="1">
      <c r="A18" s="13" t="s">
        <v>1698</v>
      </c>
      <c r="B18" s="13" t="s">
        <v>1699</v>
      </c>
    </row>
    <row r="19" spans="1:2" ht="58.05" customHeight="1">
      <c r="A19" s="13" t="s">
        <v>137</v>
      </c>
      <c r="B19" s="13" t="s">
        <v>1700</v>
      </c>
    </row>
    <row r="20" spans="1:2" ht="58.05" customHeight="1">
      <c r="A20" s="13" t="s">
        <v>1701</v>
      </c>
      <c r="B20" s="13" t="s">
        <v>1702</v>
      </c>
    </row>
    <row r="21" spans="1:2" ht="58.05" customHeight="1">
      <c r="A21" s="13" t="s">
        <v>1703</v>
      </c>
      <c r="B21" s="13" t="s">
        <v>1704</v>
      </c>
    </row>
    <row r="22" spans="1:2" ht="58.05" customHeight="1">
      <c r="A22" s="13" t="s">
        <v>1705</v>
      </c>
      <c r="B22" s="13" t="s">
        <v>1706</v>
      </c>
    </row>
  </sheetData>
  <mergeCells count="1">
    <mergeCell ref="A1:B2"/>
  </mergeCells>
  <phoneticPr fontId="9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>
      <selection sqref="A1:L2"/>
    </sheetView>
  </sheetViews>
  <sheetFormatPr defaultRowHeight="13.5"/>
  <cols>
    <col min="1" max="1" width="19" customWidth="1"/>
    <col min="2" max="2" width="9" customWidth="1"/>
    <col min="3" max="4" width="18" customWidth="1"/>
    <col min="5" max="5" width="30" customWidth="1"/>
    <col min="6" max="6" width="66" customWidth="1"/>
    <col min="7" max="7" width="24" customWidth="1"/>
    <col min="8" max="8" width="26" customWidth="1"/>
    <col min="9" max="9" width="64" customWidth="1"/>
    <col min="10" max="10" width="56" customWidth="1"/>
    <col min="11" max="11" width="18" customWidth="1"/>
    <col min="12" max="12" width="48" customWidth="1"/>
  </cols>
  <sheetData>
    <row r="1" spans="1:12">
      <c r="A1" s="21" t="s">
        <v>1707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46.05" customHeight="1">
      <c r="A4" s="12" t="s">
        <v>67</v>
      </c>
      <c r="B4" s="12" t="s">
        <v>740</v>
      </c>
      <c r="C4" s="12" t="s">
        <v>1708</v>
      </c>
      <c r="D4" s="12" t="s">
        <v>1709</v>
      </c>
      <c r="E4" s="12" t="s">
        <v>1710</v>
      </c>
      <c r="F4" s="12" t="s">
        <v>1711</v>
      </c>
      <c r="G4" s="12" t="s">
        <v>1712</v>
      </c>
      <c r="H4" s="12" t="s">
        <v>1713</v>
      </c>
      <c r="I4" s="12" t="s">
        <v>1714</v>
      </c>
      <c r="J4" s="12" t="s">
        <v>1715</v>
      </c>
      <c r="K4" s="12" t="s">
        <v>1716</v>
      </c>
      <c r="L4" s="12" t="s">
        <v>1717</v>
      </c>
    </row>
    <row r="5" spans="1:12" ht="70.05" customHeight="1">
      <c r="A5" s="13" t="s">
        <v>450</v>
      </c>
      <c r="B5" s="13">
        <v>2018</v>
      </c>
      <c r="C5" s="13" t="s">
        <v>1718</v>
      </c>
      <c r="D5" s="13" t="s">
        <v>1719</v>
      </c>
      <c r="E5" s="13" t="s">
        <v>1720</v>
      </c>
      <c r="F5" s="13" t="s">
        <v>1721</v>
      </c>
      <c r="G5" s="13" t="s">
        <v>1722</v>
      </c>
      <c r="H5" s="13" t="s">
        <v>1723</v>
      </c>
      <c r="I5" s="13" t="s">
        <v>1724</v>
      </c>
      <c r="J5" s="13" t="s">
        <v>1725</v>
      </c>
      <c r="K5" s="13" t="s">
        <v>140</v>
      </c>
      <c r="L5" s="13" t="s">
        <v>1726</v>
      </c>
    </row>
    <row r="6" spans="1:12" ht="70.05" customHeight="1">
      <c r="A6" s="13" t="s">
        <v>450</v>
      </c>
      <c r="B6" s="13">
        <v>2019</v>
      </c>
      <c r="C6" s="13" t="s">
        <v>1718</v>
      </c>
      <c r="D6" s="13" t="s">
        <v>1719</v>
      </c>
      <c r="E6" s="13" t="s">
        <v>1727</v>
      </c>
      <c r="F6" s="13" t="s">
        <v>1728</v>
      </c>
      <c r="G6" s="13" t="s">
        <v>1722</v>
      </c>
      <c r="H6" s="13" t="s">
        <v>1729</v>
      </c>
      <c r="I6" s="13" t="s">
        <v>1730</v>
      </c>
      <c r="J6" s="13" t="s">
        <v>1731</v>
      </c>
      <c r="K6" s="13" t="s">
        <v>140</v>
      </c>
      <c r="L6" s="13" t="s">
        <v>1726</v>
      </c>
    </row>
    <row r="7" spans="1:12" ht="70.05" customHeight="1">
      <c r="A7" s="13" t="s">
        <v>450</v>
      </c>
      <c r="B7" s="13">
        <v>2021</v>
      </c>
      <c r="C7" s="13" t="s">
        <v>1718</v>
      </c>
      <c r="D7" s="13" t="s">
        <v>1719</v>
      </c>
      <c r="E7" s="13" t="s">
        <v>1732</v>
      </c>
      <c r="F7" s="13" t="s">
        <v>1733</v>
      </c>
      <c r="G7" s="13" t="s">
        <v>1722</v>
      </c>
      <c r="H7" s="13" t="s">
        <v>1734</v>
      </c>
      <c r="I7" s="13" t="s">
        <v>1735</v>
      </c>
      <c r="J7" s="13" t="s">
        <v>1736</v>
      </c>
      <c r="K7" s="13" t="s">
        <v>140</v>
      </c>
      <c r="L7" s="13" t="s">
        <v>1726</v>
      </c>
    </row>
    <row r="8" spans="1:12" ht="70.05" customHeight="1">
      <c r="A8" s="13" t="s">
        <v>370</v>
      </c>
      <c r="B8" s="13">
        <v>2015</v>
      </c>
      <c r="C8" s="13" t="s">
        <v>1718</v>
      </c>
      <c r="D8" s="13" t="s">
        <v>1719</v>
      </c>
      <c r="E8" s="13" t="s">
        <v>1727</v>
      </c>
      <c r="F8" s="13" t="s">
        <v>1737</v>
      </c>
      <c r="G8" s="13" t="s">
        <v>1738</v>
      </c>
      <c r="H8" s="13" t="s">
        <v>1739</v>
      </c>
      <c r="I8" s="13" t="s">
        <v>1740</v>
      </c>
      <c r="J8" s="13" t="s">
        <v>386</v>
      </c>
      <c r="K8" s="13" t="s">
        <v>140</v>
      </c>
      <c r="L8" s="13" t="s">
        <v>1741</v>
      </c>
    </row>
    <row r="9" spans="1:12" ht="70.05" customHeight="1">
      <c r="A9" s="13" t="s">
        <v>462</v>
      </c>
      <c r="B9" s="13">
        <v>2024</v>
      </c>
      <c r="C9" s="13" t="s">
        <v>1718</v>
      </c>
      <c r="D9" s="13" t="s">
        <v>1742</v>
      </c>
      <c r="E9" s="13" t="s">
        <v>1743</v>
      </c>
      <c r="F9" s="13" t="s">
        <v>1744</v>
      </c>
      <c r="G9" s="13" t="s">
        <v>1745</v>
      </c>
      <c r="H9" s="13" t="s">
        <v>1746</v>
      </c>
      <c r="I9" s="13" t="s">
        <v>1747</v>
      </c>
      <c r="J9" s="13" t="s">
        <v>1748</v>
      </c>
      <c r="K9" s="13" t="s">
        <v>1749</v>
      </c>
      <c r="L9" s="13" t="s">
        <v>1750</v>
      </c>
    </row>
    <row r="10" spans="1:12" ht="70.05" customHeight="1">
      <c r="A10" s="13" t="s">
        <v>462</v>
      </c>
      <c r="B10" s="13">
        <v>2025</v>
      </c>
      <c r="C10" s="13" t="s">
        <v>1718</v>
      </c>
      <c r="D10" s="13" t="s">
        <v>1742</v>
      </c>
      <c r="E10" s="13" t="s">
        <v>1751</v>
      </c>
      <c r="F10" s="13" t="s">
        <v>1752</v>
      </c>
      <c r="G10" s="13" t="s">
        <v>1753</v>
      </c>
      <c r="H10" s="13" t="s">
        <v>1754</v>
      </c>
      <c r="I10" s="13" t="s">
        <v>1755</v>
      </c>
      <c r="J10" s="13" t="s">
        <v>1748</v>
      </c>
      <c r="K10" s="13" t="s">
        <v>1756</v>
      </c>
      <c r="L10" s="13" t="s">
        <v>1757</v>
      </c>
    </row>
    <row r="11" spans="1:12" ht="70.05" customHeight="1">
      <c r="A11" s="13" t="s">
        <v>37</v>
      </c>
      <c r="B11" s="13">
        <v>2022</v>
      </c>
      <c r="C11" s="13" t="s">
        <v>1758</v>
      </c>
      <c r="D11" s="13" t="s">
        <v>1759</v>
      </c>
      <c r="E11" s="13" t="s">
        <v>1760</v>
      </c>
      <c r="F11" s="13" t="s">
        <v>1761</v>
      </c>
      <c r="G11" s="13" t="s">
        <v>1762</v>
      </c>
      <c r="H11" s="13" t="s">
        <v>1763</v>
      </c>
      <c r="I11" s="13" t="s">
        <v>1764</v>
      </c>
      <c r="J11" s="13"/>
      <c r="K11" s="13" t="s">
        <v>1765</v>
      </c>
      <c r="L11" s="13" t="s">
        <v>1766</v>
      </c>
    </row>
    <row r="12" spans="1:12" ht="70.05" customHeight="1">
      <c r="A12" s="13" t="s">
        <v>37</v>
      </c>
      <c r="B12" s="13">
        <v>2027</v>
      </c>
      <c r="C12" s="13" t="s">
        <v>1767</v>
      </c>
      <c r="D12" s="13" t="s">
        <v>1768</v>
      </c>
      <c r="E12" s="13" t="s">
        <v>1769</v>
      </c>
      <c r="F12" s="13" t="s">
        <v>1770</v>
      </c>
      <c r="G12" s="13" t="s">
        <v>1771</v>
      </c>
      <c r="H12" s="13" t="s">
        <v>1772</v>
      </c>
      <c r="I12" s="13" t="s">
        <v>1773</v>
      </c>
      <c r="J12" s="13" t="s">
        <v>1650</v>
      </c>
      <c r="K12" s="13" t="s">
        <v>140</v>
      </c>
      <c r="L12" s="13" t="s">
        <v>1774</v>
      </c>
    </row>
    <row r="13" spans="1:12" ht="70.05" customHeight="1">
      <c r="A13" s="13" t="s">
        <v>38</v>
      </c>
      <c r="B13" s="13">
        <v>2013</v>
      </c>
      <c r="C13" s="13" t="s">
        <v>1775</v>
      </c>
      <c r="D13" s="13" t="s">
        <v>1776</v>
      </c>
      <c r="E13" s="13" t="s">
        <v>1777</v>
      </c>
      <c r="F13" s="13" t="s">
        <v>1778</v>
      </c>
      <c r="G13" s="13" t="s">
        <v>1779</v>
      </c>
      <c r="H13" s="13" t="s">
        <v>1780</v>
      </c>
      <c r="I13" s="13" t="s">
        <v>1781</v>
      </c>
      <c r="J13" s="13"/>
      <c r="K13" s="13" t="s">
        <v>1765</v>
      </c>
      <c r="L13" s="13" t="s">
        <v>1782</v>
      </c>
    </row>
    <row r="14" spans="1:12" ht="70.05" customHeight="1">
      <c r="A14" s="13" t="s">
        <v>38</v>
      </c>
      <c r="B14" s="13">
        <v>2022</v>
      </c>
      <c r="C14" s="13" t="s">
        <v>1783</v>
      </c>
      <c r="D14" s="13" t="s">
        <v>1784</v>
      </c>
      <c r="E14" s="13" t="s">
        <v>1785</v>
      </c>
      <c r="F14" s="13" t="s">
        <v>1786</v>
      </c>
      <c r="G14" s="13" t="s">
        <v>1787</v>
      </c>
      <c r="H14" s="13" t="s">
        <v>248</v>
      </c>
      <c r="I14" s="13" t="s">
        <v>1788</v>
      </c>
      <c r="J14" s="13"/>
      <c r="K14" s="13" t="s">
        <v>1765</v>
      </c>
      <c r="L14" s="13" t="s">
        <v>1789</v>
      </c>
    </row>
    <row r="15" spans="1:12" ht="70.05" customHeight="1">
      <c r="A15" s="13" t="s">
        <v>501</v>
      </c>
      <c r="B15" s="13">
        <v>2021</v>
      </c>
      <c r="C15" s="13" t="s">
        <v>1783</v>
      </c>
      <c r="D15" s="13" t="s">
        <v>1790</v>
      </c>
      <c r="E15" s="13" t="s">
        <v>1791</v>
      </c>
      <c r="F15" s="13" t="s">
        <v>1792</v>
      </c>
      <c r="G15" s="13" t="s">
        <v>1787</v>
      </c>
      <c r="H15" s="13" t="s">
        <v>248</v>
      </c>
      <c r="I15" s="13" t="s">
        <v>510</v>
      </c>
      <c r="J15" s="13"/>
      <c r="K15" s="13" t="s">
        <v>1793</v>
      </c>
      <c r="L15" s="13" t="s">
        <v>1794</v>
      </c>
    </row>
    <row r="16" spans="1:12" ht="70.05" customHeight="1">
      <c r="A16" s="13" t="s">
        <v>44</v>
      </c>
      <c r="B16" s="13">
        <v>2026</v>
      </c>
      <c r="C16" s="13" t="s">
        <v>1795</v>
      </c>
      <c r="D16" s="13" t="s">
        <v>1768</v>
      </c>
      <c r="E16" s="13" t="s">
        <v>1796</v>
      </c>
      <c r="F16" s="13" t="s">
        <v>1797</v>
      </c>
      <c r="G16" s="13" t="s">
        <v>1798</v>
      </c>
      <c r="H16" s="13" t="s">
        <v>1799</v>
      </c>
      <c r="I16" s="13" t="s">
        <v>236</v>
      </c>
      <c r="J16" s="13" t="s">
        <v>1800</v>
      </c>
      <c r="K16" s="13" t="s">
        <v>140</v>
      </c>
      <c r="L16" s="13" t="s">
        <v>1801</v>
      </c>
    </row>
    <row r="17" spans="1:12" ht="70.05" customHeight="1">
      <c r="A17" s="13" t="s">
        <v>462</v>
      </c>
      <c r="B17" s="13">
        <v>2026</v>
      </c>
      <c r="C17" s="13" t="s">
        <v>1795</v>
      </c>
      <c r="D17" s="13" t="s">
        <v>1768</v>
      </c>
      <c r="E17" s="13" t="s">
        <v>1796</v>
      </c>
      <c r="F17" s="13" t="s">
        <v>1802</v>
      </c>
      <c r="G17" s="13" t="s">
        <v>1722</v>
      </c>
      <c r="H17" s="13" t="s">
        <v>1803</v>
      </c>
      <c r="I17" s="13" t="s">
        <v>1804</v>
      </c>
      <c r="J17" s="13" t="s">
        <v>477</v>
      </c>
      <c r="K17" s="13" t="s">
        <v>140</v>
      </c>
      <c r="L17" s="13" t="s">
        <v>1805</v>
      </c>
    </row>
    <row r="18" spans="1:12" ht="70.05" customHeight="1">
      <c r="A18" s="13" t="s">
        <v>653</v>
      </c>
      <c r="B18" s="13">
        <v>2026</v>
      </c>
      <c r="C18" s="13" t="s">
        <v>1795</v>
      </c>
      <c r="D18" s="13" t="s">
        <v>1768</v>
      </c>
      <c r="E18" s="13" t="s">
        <v>1796</v>
      </c>
      <c r="F18" s="13" t="s">
        <v>1806</v>
      </c>
      <c r="G18" s="13" t="s">
        <v>1807</v>
      </c>
      <c r="H18" s="13" t="s">
        <v>1808</v>
      </c>
      <c r="I18" s="13" t="s">
        <v>663</v>
      </c>
      <c r="J18" s="13" t="s">
        <v>1809</v>
      </c>
      <c r="K18" s="13" t="s">
        <v>140</v>
      </c>
      <c r="L18" s="13" t="s">
        <v>1810</v>
      </c>
    </row>
    <row r="19" spans="1:12" ht="70.05" customHeight="1">
      <c r="A19" s="13" t="s">
        <v>542</v>
      </c>
      <c r="B19" s="13">
        <v>2023</v>
      </c>
      <c r="C19" s="13" t="s">
        <v>1811</v>
      </c>
      <c r="D19" s="13" t="s">
        <v>1812</v>
      </c>
      <c r="E19" s="13" t="s">
        <v>1813</v>
      </c>
      <c r="F19" s="13" t="s">
        <v>1814</v>
      </c>
      <c r="G19" s="13" t="s">
        <v>1815</v>
      </c>
      <c r="H19" s="13" t="s">
        <v>1816</v>
      </c>
      <c r="I19" s="13" t="s">
        <v>555</v>
      </c>
      <c r="J19" s="13" t="s">
        <v>1817</v>
      </c>
      <c r="K19" s="13" t="s">
        <v>140</v>
      </c>
      <c r="L19" s="13" t="s">
        <v>1818</v>
      </c>
    </row>
  </sheetData>
  <mergeCells count="1">
    <mergeCell ref="A1:L2"/>
  </mergeCells>
  <phoneticPr fontId="9" type="noConversion"/>
  <conditionalFormatting sqref="D5:D19">
    <cfRule type="containsText" dxfId="6" priority="1" operator="containsText" text="A"/>
    <cfRule type="containsText" dxfId="5" priority="2" operator="containsText" text="C"/>
  </conditionalFormatting>
  <conditionalFormatting sqref="E5:E19">
    <cfRule type="containsText" dxfId="4" priority="3" operator="containsText" text="部分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5"/>
  <sheetViews>
    <sheetView showGridLines="0" workbookViewId="0">
      <selection sqref="A1:F2"/>
    </sheetView>
  </sheetViews>
  <sheetFormatPr defaultRowHeight="13.5"/>
  <cols>
    <col min="1" max="1" width="20" customWidth="1"/>
    <col min="2" max="2" width="28" customWidth="1"/>
    <col min="3" max="3" width="11" customWidth="1"/>
    <col min="4" max="4" width="23" customWidth="1"/>
    <col min="5" max="6" width="64" customWidth="1"/>
  </cols>
  <sheetData>
    <row r="1" spans="1:6">
      <c r="A1" s="21" t="s">
        <v>1819</v>
      </c>
      <c r="B1" s="21"/>
      <c r="C1" s="21"/>
      <c r="D1" s="21"/>
      <c r="E1" s="21"/>
      <c r="F1" s="21"/>
    </row>
    <row r="2" spans="1:6">
      <c r="A2" s="21"/>
      <c r="B2" s="21"/>
      <c r="C2" s="21"/>
      <c r="D2" s="21"/>
      <c r="E2" s="21"/>
      <c r="F2" s="21"/>
    </row>
    <row r="4" spans="1:6" ht="42" customHeight="1">
      <c r="A4" s="12" t="s">
        <v>67</v>
      </c>
      <c r="B4" s="12" t="s">
        <v>1820</v>
      </c>
      <c r="C4" s="12" t="s">
        <v>1821</v>
      </c>
      <c r="D4" s="12" t="s">
        <v>1822</v>
      </c>
      <c r="E4" s="12" t="s">
        <v>1823</v>
      </c>
      <c r="F4" s="12" t="s">
        <v>1824</v>
      </c>
    </row>
    <row r="5" spans="1:6" ht="48" customHeight="1">
      <c r="A5" s="13" t="s">
        <v>34</v>
      </c>
      <c r="B5" s="13" t="s">
        <v>166</v>
      </c>
      <c r="C5" s="13" t="s">
        <v>140</v>
      </c>
      <c r="D5" s="13" t="s">
        <v>1825</v>
      </c>
      <c r="E5" s="13" t="s">
        <v>1620</v>
      </c>
      <c r="F5" s="13" t="s">
        <v>1826</v>
      </c>
    </row>
    <row r="6" spans="1:6" ht="48" customHeight="1">
      <c r="A6" s="13" t="s">
        <v>37</v>
      </c>
      <c r="B6" s="13" t="s">
        <v>186</v>
      </c>
      <c r="C6" s="13" t="s">
        <v>140</v>
      </c>
      <c r="D6" s="13" t="s">
        <v>1825</v>
      </c>
      <c r="E6" s="13" t="s">
        <v>1620</v>
      </c>
      <c r="F6" s="13" t="s">
        <v>1826</v>
      </c>
    </row>
    <row r="7" spans="1:6" ht="48" customHeight="1">
      <c r="A7" s="13" t="s">
        <v>38</v>
      </c>
      <c r="B7" s="13" t="s">
        <v>202</v>
      </c>
      <c r="C7" s="13" t="s">
        <v>140</v>
      </c>
      <c r="D7" s="13" t="s">
        <v>1825</v>
      </c>
      <c r="E7" s="13" t="s">
        <v>1620</v>
      </c>
      <c r="F7" s="13" t="s">
        <v>1826</v>
      </c>
    </row>
    <row r="8" spans="1:6" ht="48" customHeight="1">
      <c r="A8" s="13" t="s">
        <v>48</v>
      </c>
      <c r="B8" s="13" t="s">
        <v>220</v>
      </c>
      <c r="C8" s="13" t="s">
        <v>140</v>
      </c>
      <c r="D8" s="13" t="s">
        <v>1825</v>
      </c>
      <c r="E8" s="13" t="s">
        <v>1620</v>
      </c>
      <c r="F8" s="13" t="s">
        <v>1826</v>
      </c>
    </row>
    <row r="9" spans="1:6" ht="48" customHeight="1">
      <c r="A9" s="13" t="s">
        <v>44</v>
      </c>
      <c r="B9" s="13" t="s">
        <v>233</v>
      </c>
      <c r="C9" s="13" t="s">
        <v>140</v>
      </c>
      <c r="D9" s="13" t="s">
        <v>1825</v>
      </c>
      <c r="E9" s="13" t="s">
        <v>1620</v>
      </c>
      <c r="F9" s="13" t="s">
        <v>1826</v>
      </c>
    </row>
    <row r="10" spans="1:6" ht="48" customHeight="1">
      <c r="A10" s="13" t="s">
        <v>43</v>
      </c>
      <c r="B10" s="13" t="s">
        <v>247</v>
      </c>
      <c r="C10" s="13" t="s">
        <v>140</v>
      </c>
      <c r="D10" s="13" t="s">
        <v>1825</v>
      </c>
      <c r="E10" s="13" t="s">
        <v>1620</v>
      </c>
      <c r="F10" s="13" t="s">
        <v>1826</v>
      </c>
    </row>
    <row r="11" spans="1:6" ht="48" customHeight="1">
      <c r="A11" s="13" t="s">
        <v>47</v>
      </c>
      <c r="B11" s="13" t="s">
        <v>247</v>
      </c>
      <c r="C11" s="13" t="s">
        <v>140</v>
      </c>
      <c r="D11" s="13" t="s">
        <v>1825</v>
      </c>
      <c r="E11" s="13" t="s">
        <v>1620</v>
      </c>
      <c r="F11" s="13" t="s">
        <v>1826</v>
      </c>
    </row>
    <row r="12" spans="1:6" ht="48" customHeight="1">
      <c r="A12" s="13" t="s">
        <v>52</v>
      </c>
      <c r="B12" s="13" t="s">
        <v>266</v>
      </c>
      <c r="C12" s="13" t="s">
        <v>140</v>
      </c>
      <c r="D12" s="13" t="s">
        <v>1825</v>
      </c>
      <c r="E12" s="13" t="s">
        <v>1620</v>
      </c>
      <c r="F12" s="13" t="s">
        <v>1826</v>
      </c>
    </row>
    <row r="13" spans="1:6" ht="48" customHeight="1">
      <c r="A13" s="13" t="s">
        <v>51</v>
      </c>
      <c r="B13" s="13" t="s">
        <v>274</v>
      </c>
      <c r="C13" s="13" t="s">
        <v>140</v>
      </c>
      <c r="D13" s="13" t="s">
        <v>1825</v>
      </c>
      <c r="E13" s="13" t="s">
        <v>1620</v>
      </c>
      <c r="F13" s="13" t="s">
        <v>1826</v>
      </c>
    </row>
    <row r="14" spans="1:6" ht="48" customHeight="1">
      <c r="A14" s="13" t="s">
        <v>54</v>
      </c>
      <c r="B14" s="13" t="s">
        <v>282</v>
      </c>
      <c r="C14" s="13" t="s">
        <v>140</v>
      </c>
      <c r="D14" s="13" t="s">
        <v>1825</v>
      </c>
      <c r="E14" s="13" t="s">
        <v>1620</v>
      </c>
      <c r="F14" s="13" t="s">
        <v>1826</v>
      </c>
    </row>
    <row r="15" spans="1:6" ht="48" customHeight="1">
      <c r="A15" s="13" t="s">
        <v>53</v>
      </c>
      <c r="B15" s="13" t="s">
        <v>289</v>
      </c>
      <c r="C15" s="13" t="s">
        <v>140</v>
      </c>
      <c r="D15" s="13" t="s">
        <v>1825</v>
      </c>
      <c r="E15" s="13" t="s">
        <v>1620</v>
      </c>
      <c r="F15" s="13" t="s">
        <v>1826</v>
      </c>
    </row>
    <row r="16" spans="1:6" ht="48" customHeight="1">
      <c r="A16" s="13" t="s">
        <v>57</v>
      </c>
      <c r="B16" s="13" t="s">
        <v>297</v>
      </c>
      <c r="C16" s="13" t="s">
        <v>140</v>
      </c>
      <c r="D16" s="13" t="s">
        <v>1825</v>
      </c>
      <c r="E16" s="13" t="s">
        <v>1620</v>
      </c>
      <c r="F16" s="13" t="s">
        <v>1826</v>
      </c>
    </row>
    <row r="17" spans="1:6" ht="48" customHeight="1">
      <c r="A17" s="13" t="s">
        <v>55</v>
      </c>
      <c r="B17" s="13" t="s">
        <v>305</v>
      </c>
      <c r="C17" s="13" t="s">
        <v>140</v>
      </c>
      <c r="D17" s="13" t="s">
        <v>1825</v>
      </c>
      <c r="E17" s="13" t="s">
        <v>1620</v>
      </c>
      <c r="F17" s="13" t="s">
        <v>1826</v>
      </c>
    </row>
    <row r="18" spans="1:6" ht="48" customHeight="1">
      <c r="A18" s="13" t="s">
        <v>306</v>
      </c>
      <c r="B18" s="13" t="s">
        <v>247</v>
      </c>
      <c r="C18" s="13" t="s">
        <v>140</v>
      </c>
      <c r="D18" s="13" t="s">
        <v>1825</v>
      </c>
      <c r="E18" s="13" t="s">
        <v>1620</v>
      </c>
      <c r="F18" s="13" t="s">
        <v>1826</v>
      </c>
    </row>
    <row r="19" spans="1:6" ht="48" customHeight="1">
      <c r="A19" s="13" t="s">
        <v>56</v>
      </c>
      <c r="B19" s="13" t="s">
        <v>202</v>
      </c>
      <c r="C19" s="13" t="s">
        <v>140</v>
      </c>
      <c r="D19" s="13" t="s">
        <v>1825</v>
      </c>
      <c r="E19" s="13" t="s">
        <v>1620</v>
      </c>
      <c r="F19" s="13" t="s">
        <v>1826</v>
      </c>
    </row>
    <row r="20" spans="1:6" ht="48" customHeight="1">
      <c r="A20" s="13" t="s">
        <v>320</v>
      </c>
      <c r="B20" s="13" t="s">
        <v>247</v>
      </c>
      <c r="C20" s="13" t="s">
        <v>140</v>
      </c>
      <c r="D20" s="13" t="s">
        <v>1825</v>
      </c>
      <c r="E20" s="13" t="s">
        <v>1620</v>
      </c>
      <c r="F20" s="13" t="s">
        <v>1826</v>
      </c>
    </row>
    <row r="21" spans="1:6" ht="48" customHeight="1">
      <c r="A21" s="13" t="s">
        <v>326</v>
      </c>
      <c r="B21" s="13" t="s">
        <v>330</v>
      </c>
      <c r="C21" s="13" t="s">
        <v>140</v>
      </c>
      <c r="D21" s="13" t="s">
        <v>1825</v>
      </c>
      <c r="E21" s="13" t="s">
        <v>1620</v>
      </c>
      <c r="F21" s="13" t="s">
        <v>1826</v>
      </c>
    </row>
    <row r="22" spans="1:6" ht="48" customHeight="1">
      <c r="A22" s="13" t="s">
        <v>331</v>
      </c>
      <c r="B22" s="13" t="s">
        <v>337</v>
      </c>
      <c r="C22" s="13" t="s">
        <v>140</v>
      </c>
      <c r="D22" s="13" t="s">
        <v>1825</v>
      </c>
      <c r="E22" s="13" t="s">
        <v>1620</v>
      </c>
      <c r="F22" s="13" t="s">
        <v>1826</v>
      </c>
    </row>
    <row r="23" spans="1:6" ht="48" customHeight="1">
      <c r="A23" s="13" t="s">
        <v>338</v>
      </c>
      <c r="B23" s="13" t="s">
        <v>274</v>
      </c>
      <c r="C23" s="13" t="s">
        <v>140</v>
      </c>
      <c r="D23" s="13" t="s">
        <v>1825</v>
      </c>
      <c r="E23" s="13" t="s">
        <v>1620</v>
      </c>
      <c r="F23" s="13" t="s">
        <v>1826</v>
      </c>
    </row>
    <row r="24" spans="1:6" ht="48" customHeight="1">
      <c r="A24" s="13" t="s">
        <v>344</v>
      </c>
      <c r="B24" s="13" t="s">
        <v>348</v>
      </c>
      <c r="C24" s="13" t="s">
        <v>140</v>
      </c>
      <c r="D24" s="13" t="s">
        <v>1825</v>
      </c>
      <c r="E24" s="13" t="s">
        <v>1620</v>
      </c>
      <c r="F24" s="13" t="s">
        <v>1826</v>
      </c>
    </row>
    <row r="25" spans="1:6" ht="48" customHeight="1">
      <c r="A25" s="13" t="s">
        <v>349</v>
      </c>
      <c r="B25" s="13" t="s">
        <v>305</v>
      </c>
      <c r="C25" s="13" t="s">
        <v>140</v>
      </c>
      <c r="D25" s="13" t="s">
        <v>1825</v>
      </c>
      <c r="E25" s="13" t="s">
        <v>1620</v>
      </c>
      <c r="F25" s="13" t="s">
        <v>1826</v>
      </c>
    </row>
    <row r="26" spans="1:6" ht="48" customHeight="1">
      <c r="A26" s="13" t="s">
        <v>354</v>
      </c>
      <c r="B26" s="13"/>
      <c r="C26" s="13" t="s">
        <v>248</v>
      </c>
      <c r="D26" s="13" t="s">
        <v>1825</v>
      </c>
      <c r="E26" s="13" t="s">
        <v>1620</v>
      </c>
      <c r="F26" s="13" t="s">
        <v>1827</v>
      </c>
    </row>
    <row r="27" spans="1:6" ht="48" customHeight="1">
      <c r="A27" s="13" t="s">
        <v>364</v>
      </c>
      <c r="B27" s="13" t="s">
        <v>369</v>
      </c>
      <c r="C27" s="13" t="s">
        <v>140</v>
      </c>
      <c r="D27" s="13" t="s">
        <v>1825</v>
      </c>
      <c r="E27" s="13" t="s">
        <v>1620</v>
      </c>
      <c r="F27" s="13" t="s">
        <v>1826</v>
      </c>
    </row>
    <row r="28" spans="1:6" ht="48" customHeight="1">
      <c r="A28" s="13" t="s">
        <v>370</v>
      </c>
      <c r="B28" s="13" t="s">
        <v>380</v>
      </c>
      <c r="C28" s="13" t="s">
        <v>140</v>
      </c>
      <c r="D28" s="13" t="s">
        <v>1825</v>
      </c>
      <c r="E28" s="13" t="s">
        <v>1620</v>
      </c>
      <c r="F28" s="13" t="s">
        <v>1826</v>
      </c>
    </row>
    <row r="29" spans="1:6" ht="48" customHeight="1">
      <c r="A29" s="13" t="s">
        <v>387</v>
      </c>
      <c r="B29" s="13" t="s">
        <v>202</v>
      </c>
      <c r="C29" s="13" t="s">
        <v>140</v>
      </c>
      <c r="D29" s="13" t="s">
        <v>1825</v>
      </c>
      <c r="E29" s="13" t="s">
        <v>1620</v>
      </c>
      <c r="F29" s="13" t="s">
        <v>1826</v>
      </c>
    </row>
    <row r="30" spans="1:6" ht="48" customHeight="1">
      <c r="A30" s="13" t="s">
        <v>392</v>
      </c>
      <c r="B30" s="13" t="s">
        <v>305</v>
      </c>
      <c r="C30" s="13" t="s">
        <v>140</v>
      </c>
      <c r="D30" s="13" t="s">
        <v>1825</v>
      </c>
      <c r="E30" s="13" t="s">
        <v>1620</v>
      </c>
      <c r="F30" s="13" t="s">
        <v>1826</v>
      </c>
    </row>
    <row r="31" spans="1:6" ht="48" customHeight="1">
      <c r="A31" s="13" t="s">
        <v>401</v>
      </c>
      <c r="B31" s="13" t="s">
        <v>406</v>
      </c>
      <c r="C31" s="13" t="s">
        <v>140</v>
      </c>
      <c r="D31" s="13" t="s">
        <v>1825</v>
      </c>
      <c r="E31" s="13" t="s">
        <v>1620</v>
      </c>
      <c r="F31" s="13" t="s">
        <v>1826</v>
      </c>
    </row>
    <row r="32" spans="1:6" ht="48" customHeight="1">
      <c r="A32" s="13" t="s">
        <v>407</v>
      </c>
      <c r="B32" s="13" t="s">
        <v>247</v>
      </c>
      <c r="C32" s="13" t="s">
        <v>140</v>
      </c>
      <c r="D32" s="13" t="s">
        <v>1825</v>
      </c>
      <c r="E32" s="13" t="s">
        <v>1620</v>
      </c>
      <c r="F32" s="13" t="s">
        <v>1826</v>
      </c>
    </row>
    <row r="33" spans="1:6" ht="48" customHeight="1">
      <c r="A33" s="13" t="s">
        <v>415</v>
      </c>
      <c r="B33" s="13" t="s">
        <v>421</v>
      </c>
      <c r="C33" s="13" t="s">
        <v>140</v>
      </c>
      <c r="D33" s="13" t="s">
        <v>1825</v>
      </c>
      <c r="E33" s="13" t="s">
        <v>1620</v>
      </c>
      <c r="F33" s="13" t="s">
        <v>1826</v>
      </c>
    </row>
    <row r="34" spans="1:6" ht="48" customHeight="1">
      <c r="A34" s="13" t="s">
        <v>422</v>
      </c>
      <c r="B34" s="13" t="s">
        <v>305</v>
      </c>
      <c r="C34" s="13" t="s">
        <v>140</v>
      </c>
      <c r="D34" s="13" t="s">
        <v>1825</v>
      </c>
      <c r="E34" s="13" t="s">
        <v>1620</v>
      </c>
      <c r="F34" s="13" t="s">
        <v>1826</v>
      </c>
    </row>
    <row r="35" spans="1:6" ht="48" customHeight="1">
      <c r="A35" s="13" t="s">
        <v>434</v>
      </c>
      <c r="B35" s="13" t="s">
        <v>437</v>
      </c>
      <c r="C35" s="13" t="s">
        <v>140</v>
      </c>
      <c r="D35" s="13" t="s">
        <v>1825</v>
      </c>
      <c r="E35" s="13" t="s">
        <v>1620</v>
      </c>
      <c r="F35" s="13" t="s">
        <v>1826</v>
      </c>
    </row>
    <row r="36" spans="1:6" ht="48" customHeight="1">
      <c r="A36" s="13" t="s">
        <v>438</v>
      </c>
      <c r="B36" s="13" t="s">
        <v>247</v>
      </c>
      <c r="C36" s="13" t="s">
        <v>140</v>
      </c>
      <c r="D36" s="13" t="s">
        <v>1825</v>
      </c>
      <c r="E36" s="13" t="s">
        <v>1620</v>
      </c>
      <c r="F36" s="13" t="s">
        <v>1826</v>
      </c>
    </row>
    <row r="37" spans="1:6" ht="48" customHeight="1">
      <c r="A37" s="13" t="s">
        <v>443</v>
      </c>
      <c r="B37" s="13" t="s">
        <v>348</v>
      </c>
      <c r="C37" s="13" t="s">
        <v>140</v>
      </c>
      <c r="D37" s="13" t="s">
        <v>1825</v>
      </c>
      <c r="E37" s="13" t="s">
        <v>1620</v>
      </c>
      <c r="F37" s="13" t="s">
        <v>1826</v>
      </c>
    </row>
    <row r="38" spans="1:6" ht="48" customHeight="1">
      <c r="A38" s="13" t="s">
        <v>447</v>
      </c>
      <c r="B38" s="13" t="s">
        <v>348</v>
      </c>
      <c r="C38" s="13" t="s">
        <v>140</v>
      </c>
      <c r="D38" s="13" t="s">
        <v>1825</v>
      </c>
      <c r="E38" s="13" t="s">
        <v>1620</v>
      </c>
      <c r="F38" s="13" t="s">
        <v>1826</v>
      </c>
    </row>
    <row r="39" spans="1:6" ht="48" customHeight="1">
      <c r="A39" s="13" t="s">
        <v>450</v>
      </c>
      <c r="B39" s="13" t="s">
        <v>455</v>
      </c>
      <c r="C39" s="13" t="s">
        <v>140</v>
      </c>
      <c r="D39" s="13" t="s">
        <v>1825</v>
      </c>
      <c r="E39" s="13" t="s">
        <v>1620</v>
      </c>
      <c r="F39" s="13" t="s">
        <v>1826</v>
      </c>
    </row>
    <row r="40" spans="1:6" ht="48" customHeight="1">
      <c r="A40" s="13" t="s">
        <v>462</v>
      </c>
      <c r="B40" s="13" t="s">
        <v>247</v>
      </c>
      <c r="C40" s="13" t="s">
        <v>140</v>
      </c>
      <c r="D40" s="13" t="s">
        <v>1825</v>
      </c>
      <c r="E40" s="13" t="s">
        <v>1620</v>
      </c>
      <c r="F40" s="13" t="s">
        <v>1826</v>
      </c>
    </row>
    <row r="41" spans="1:6" ht="48" customHeight="1">
      <c r="A41" s="13" t="s">
        <v>478</v>
      </c>
      <c r="B41" s="13" t="s">
        <v>483</v>
      </c>
      <c r="C41" s="13" t="s">
        <v>140</v>
      </c>
      <c r="D41" s="13" t="s">
        <v>1825</v>
      </c>
      <c r="E41" s="13" t="s">
        <v>1620</v>
      </c>
      <c r="F41" s="13" t="s">
        <v>1826</v>
      </c>
    </row>
    <row r="42" spans="1:6" ht="48" customHeight="1">
      <c r="A42" s="13" t="s">
        <v>484</v>
      </c>
      <c r="B42" s="13" t="s">
        <v>490</v>
      </c>
      <c r="C42" s="13" t="s">
        <v>140</v>
      </c>
      <c r="D42" s="13" t="s">
        <v>1825</v>
      </c>
      <c r="E42" s="13" t="s">
        <v>1620</v>
      </c>
      <c r="F42" s="13" t="s">
        <v>1826</v>
      </c>
    </row>
    <row r="43" spans="1:6" ht="48" customHeight="1">
      <c r="A43" s="13" t="s">
        <v>491</v>
      </c>
      <c r="B43" s="13" t="s">
        <v>348</v>
      </c>
      <c r="C43" s="13" t="s">
        <v>140</v>
      </c>
      <c r="D43" s="13" t="s">
        <v>1825</v>
      </c>
      <c r="E43" s="13" t="s">
        <v>1620</v>
      </c>
      <c r="F43" s="13" t="s">
        <v>1826</v>
      </c>
    </row>
    <row r="44" spans="1:6" ht="48" customHeight="1">
      <c r="A44" s="13" t="s">
        <v>494</v>
      </c>
      <c r="B44" s="13" t="s">
        <v>500</v>
      </c>
      <c r="C44" s="13" t="s">
        <v>140</v>
      </c>
      <c r="D44" s="13" t="s">
        <v>1825</v>
      </c>
      <c r="E44" s="13" t="s">
        <v>1620</v>
      </c>
      <c r="F44" s="13" t="s">
        <v>1826</v>
      </c>
    </row>
    <row r="45" spans="1:6" ht="48" customHeight="1">
      <c r="A45" s="13" t="s">
        <v>501</v>
      </c>
      <c r="B45" s="13" t="s">
        <v>247</v>
      </c>
      <c r="C45" s="13" t="s">
        <v>140</v>
      </c>
      <c r="D45" s="13" t="s">
        <v>1825</v>
      </c>
      <c r="E45" s="13" t="s">
        <v>1620</v>
      </c>
      <c r="F45" s="13" t="s">
        <v>1826</v>
      </c>
    </row>
    <row r="46" spans="1:6" ht="48" customHeight="1">
      <c r="A46" s="13" t="s">
        <v>511</v>
      </c>
      <c r="B46" s="13" t="s">
        <v>515</v>
      </c>
      <c r="C46" s="13" t="s">
        <v>140</v>
      </c>
      <c r="D46" s="13" t="s">
        <v>1825</v>
      </c>
      <c r="E46" s="13" t="s">
        <v>1620</v>
      </c>
      <c r="F46" s="13" t="s">
        <v>1826</v>
      </c>
    </row>
    <row r="47" spans="1:6" ht="48" customHeight="1">
      <c r="A47" s="13" t="s">
        <v>516</v>
      </c>
      <c r="B47" s="13" t="s">
        <v>274</v>
      </c>
      <c r="C47" s="13" t="s">
        <v>140</v>
      </c>
      <c r="D47" s="13" t="s">
        <v>1825</v>
      </c>
      <c r="E47" s="13" t="s">
        <v>1620</v>
      </c>
      <c r="F47" s="13" t="s">
        <v>1826</v>
      </c>
    </row>
    <row r="48" spans="1:6" ht="48" customHeight="1">
      <c r="A48" s="13" t="s">
        <v>519</v>
      </c>
      <c r="B48" s="13" t="s">
        <v>247</v>
      </c>
      <c r="C48" s="13" t="s">
        <v>140</v>
      </c>
      <c r="D48" s="13" t="s">
        <v>1825</v>
      </c>
      <c r="E48" s="13" t="s">
        <v>1620</v>
      </c>
      <c r="F48" s="13" t="s">
        <v>1826</v>
      </c>
    </row>
    <row r="49" spans="1:6" ht="48" customHeight="1">
      <c r="A49" s="13" t="s">
        <v>528</v>
      </c>
      <c r="B49" s="13" t="s">
        <v>535</v>
      </c>
      <c r="C49" s="13" t="s">
        <v>140</v>
      </c>
      <c r="D49" s="13" t="s">
        <v>1825</v>
      </c>
      <c r="E49" s="13" t="s">
        <v>1620</v>
      </c>
      <c r="F49" s="13" t="s">
        <v>1826</v>
      </c>
    </row>
    <row r="50" spans="1:6" ht="48" customHeight="1">
      <c r="A50" s="13" t="s">
        <v>536</v>
      </c>
      <c r="B50" s="13" t="s">
        <v>541</v>
      </c>
      <c r="C50" s="13" t="s">
        <v>140</v>
      </c>
      <c r="D50" s="13" t="s">
        <v>1825</v>
      </c>
      <c r="E50" s="13" t="s">
        <v>1620</v>
      </c>
      <c r="F50" s="13" t="s">
        <v>1826</v>
      </c>
    </row>
    <row r="51" spans="1:6" ht="48" customHeight="1">
      <c r="A51" s="13" t="s">
        <v>542</v>
      </c>
      <c r="B51" s="13"/>
      <c r="C51" s="13" t="s">
        <v>248</v>
      </c>
      <c r="D51" s="13" t="s">
        <v>1825</v>
      </c>
      <c r="E51" s="13" t="s">
        <v>1620</v>
      </c>
      <c r="F51" s="13" t="s">
        <v>1827</v>
      </c>
    </row>
    <row r="52" spans="1:6" ht="48" customHeight="1">
      <c r="A52" s="13" t="s">
        <v>556</v>
      </c>
      <c r="B52" s="13" t="s">
        <v>535</v>
      </c>
      <c r="C52" s="13" t="s">
        <v>140</v>
      </c>
      <c r="D52" s="13" t="s">
        <v>1825</v>
      </c>
      <c r="E52" s="13" t="s">
        <v>1620</v>
      </c>
      <c r="F52" s="13" t="s">
        <v>1826</v>
      </c>
    </row>
    <row r="53" spans="1:6" ht="48" customHeight="1">
      <c r="A53" s="13" t="s">
        <v>561</v>
      </c>
      <c r="B53" s="13" t="s">
        <v>369</v>
      </c>
      <c r="C53" s="13" t="s">
        <v>140</v>
      </c>
      <c r="D53" s="13" t="s">
        <v>1825</v>
      </c>
      <c r="E53" s="13" t="s">
        <v>1620</v>
      </c>
      <c r="F53" s="13" t="s">
        <v>1826</v>
      </c>
    </row>
    <row r="54" spans="1:6" ht="48" customHeight="1">
      <c r="A54" s="13" t="s">
        <v>564</v>
      </c>
      <c r="B54" s="13" t="s">
        <v>569</v>
      </c>
      <c r="C54" s="13" t="s">
        <v>140</v>
      </c>
      <c r="D54" s="13" t="s">
        <v>1825</v>
      </c>
      <c r="E54" s="13" t="s">
        <v>1620</v>
      </c>
      <c r="F54" s="13" t="s">
        <v>1826</v>
      </c>
    </row>
    <row r="55" spans="1:6" ht="48" customHeight="1">
      <c r="A55" s="13" t="s">
        <v>570</v>
      </c>
      <c r="B55" s="13"/>
      <c r="C55" s="13" t="s">
        <v>248</v>
      </c>
      <c r="D55" s="13" t="s">
        <v>1825</v>
      </c>
      <c r="E55" s="13" t="s">
        <v>1620</v>
      </c>
      <c r="F55" s="13" t="s">
        <v>1827</v>
      </c>
    </row>
    <row r="56" spans="1:6" ht="48" customHeight="1">
      <c r="A56" s="13" t="s">
        <v>574</v>
      </c>
      <c r="B56" s="13" t="s">
        <v>535</v>
      </c>
      <c r="C56" s="13" t="s">
        <v>140</v>
      </c>
      <c r="D56" s="13" t="s">
        <v>1825</v>
      </c>
      <c r="E56" s="13" t="s">
        <v>1620</v>
      </c>
      <c r="F56" s="13" t="s">
        <v>1826</v>
      </c>
    </row>
    <row r="57" spans="1:6" ht="48" customHeight="1">
      <c r="A57" s="13" t="s">
        <v>577</v>
      </c>
      <c r="B57" s="13" t="s">
        <v>583</v>
      </c>
      <c r="C57" s="13" t="s">
        <v>140</v>
      </c>
      <c r="D57" s="13" t="s">
        <v>1825</v>
      </c>
      <c r="E57" s="13" t="s">
        <v>1620</v>
      </c>
      <c r="F57" s="13" t="s">
        <v>1826</v>
      </c>
    </row>
    <row r="58" spans="1:6" ht="48" customHeight="1">
      <c r="A58" s="13" t="s">
        <v>584</v>
      </c>
      <c r="B58" s="13" t="s">
        <v>591</v>
      </c>
      <c r="C58" s="13" t="s">
        <v>140</v>
      </c>
      <c r="D58" s="13" t="s">
        <v>1825</v>
      </c>
      <c r="E58" s="13" t="s">
        <v>1620</v>
      </c>
      <c r="F58" s="13" t="s">
        <v>1826</v>
      </c>
    </row>
    <row r="59" spans="1:6" ht="48" customHeight="1">
      <c r="A59" s="13" t="s">
        <v>592</v>
      </c>
      <c r="B59" s="13" t="s">
        <v>594</v>
      </c>
      <c r="C59" s="13" t="s">
        <v>140</v>
      </c>
      <c r="D59" s="13" t="s">
        <v>1825</v>
      </c>
      <c r="E59" s="13" t="s">
        <v>1620</v>
      </c>
      <c r="F59" s="13" t="s">
        <v>1826</v>
      </c>
    </row>
    <row r="60" spans="1:6" ht="48" customHeight="1">
      <c r="A60" s="13" t="s">
        <v>595</v>
      </c>
      <c r="B60" s="13" t="s">
        <v>599</v>
      </c>
      <c r="C60" s="13" t="s">
        <v>140</v>
      </c>
      <c r="D60" s="13" t="s">
        <v>1825</v>
      </c>
      <c r="E60" s="13" t="s">
        <v>1620</v>
      </c>
      <c r="F60" s="13" t="s">
        <v>1826</v>
      </c>
    </row>
    <row r="61" spans="1:6" ht="48" customHeight="1">
      <c r="A61" s="13" t="s">
        <v>600</v>
      </c>
      <c r="B61" s="13" t="s">
        <v>535</v>
      </c>
      <c r="C61" s="13" t="s">
        <v>140</v>
      </c>
      <c r="D61" s="13" t="s">
        <v>1825</v>
      </c>
      <c r="E61" s="13" t="s">
        <v>1620</v>
      </c>
      <c r="F61" s="13" t="s">
        <v>1826</v>
      </c>
    </row>
    <row r="62" spans="1:6" ht="48" customHeight="1">
      <c r="A62" s="13" t="s">
        <v>604</v>
      </c>
      <c r="B62" s="13" t="s">
        <v>348</v>
      </c>
      <c r="C62" s="13" t="s">
        <v>140</v>
      </c>
      <c r="D62" s="13" t="s">
        <v>1825</v>
      </c>
      <c r="E62" s="13" t="s">
        <v>1620</v>
      </c>
      <c r="F62" s="13" t="s">
        <v>1826</v>
      </c>
    </row>
    <row r="63" spans="1:6" ht="48" customHeight="1">
      <c r="A63" s="13" t="s">
        <v>611</v>
      </c>
      <c r="B63" s="13" t="s">
        <v>166</v>
      </c>
      <c r="C63" s="13" t="s">
        <v>140</v>
      </c>
      <c r="D63" s="13" t="s">
        <v>1825</v>
      </c>
      <c r="E63" s="13" t="s">
        <v>1620</v>
      </c>
      <c r="F63" s="13" t="s">
        <v>1826</v>
      </c>
    </row>
    <row r="64" spans="1:6" ht="48" customHeight="1">
      <c r="A64" s="13" t="s">
        <v>616</v>
      </c>
      <c r="B64" s="13" t="s">
        <v>621</v>
      </c>
      <c r="C64" s="13" t="s">
        <v>140</v>
      </c>
      <c r="D64" s="13" t="s">
        <v>1825</v>
      </c>
      <c r="E64" s="13" t="s">
        <v>1620</v>
      </c>
      <c r="F64" s="13" t="s">
        <v>1826</v>
      </c>
    </row>
    <row r="65" spans="1:6" ht="48" customHeight="1">
      <c r="A65" s="13" t="s">
        <v>622</v>
      </c>
      <c r="B65" s="13" t="s">
        <v>627</v>
      </c>
      <c r="C65" s="13" t="s">
        <v>140</v>
      </c>
      <c r="D65" s="13" t="s">
        <v>1825</v>
      </c>
      <c r="E65" s="13" t="s">
        <v>1620</v>
      </c>
      <c r="F65" s="13" t="s">
        <v>1826</v>
      </c>
    </row>
    <row r="66" spans="1:6" ht="48" customHeight="1">
      <c r="A66" s="13" t="s">
        <v>628</v>
      </c>
      <c r="B66" s="13" t="s">
        <v>631</v>
      </c>
      <c r="C66" s="13" t="s">
        <v>140</v>
      </c>
      <c r="D66" s="13" t="s">
        <v>1825</v>
      </c>
      <c r="E66" s="13" t="s">
        <v>1620</v>
      </c>
      <c r="F66" s="13" t="s">
        <v>1826</v>
      </c>
    </row>
    <row r="67" spans="1:6" ht="48" customHeight="1">
      <c r="A67" s="13" t="s">
        <v>632</v>
      </c>
      <c r="B67" s="13" t="s">
        <v>535</v>
      </c>
      <c r="C67" s="13" t="s">
        <v>140</v>
      </c>
      <c r="D67" s="13" t="s">
        <v>1825</v>
      </c>
      <c r="E67" s="13" t="s">
        <v>1620</v>
      </c>
      <c r="F67" s="13" t="s">
        <v>1826</v>
      </c>
    </row>
    <row r="68" spans="1:6" ht="48" customHeight="1">
      <c r="A68" s="13" t="s">
        <v>636</v>
      </c>
      <c r="B68" s="13" t="s">
        <v>247</v>
      </c>
      <c r="C68" s="13" t="s">
        <v>140</v>
      </c>
      <c r="D68" s="13" t="s">
        <v>1825</v>
      </c>
      <c r="E68" s="13" t="s">
        <v>1620</v>
      </c>
      <c r="F68" s="13" t="s">
        <v>1826</v>
      </c>
    </row>
    <row r="69" spans="1:6" ht="48" customHeight="1">
      <c r="A69" s="13" t="s">
        <v>642</v>
      </c>
      <c r="B69" s="13" t="s">
        <v>647</v>
      </c>
      <c r="C69" s="13" t="s">
        <v>140</v>
      </c>
      <c r="D69" s="13" t="s">
        <v>1825</v>
      </c>
      <c r="E69" s="13" t="s">
        <v>1620</v>
      </c>
      <c r="F69" s="13" t="s">
        <v>1826</v>
      </c>
    </row>
    <row r="70" spans="1:6" ht="48" customHeight="1">
      <c r="A70" s="13" t="s">
        <v>648</v>
      </c>
      <c r="B70" s="13" t="s">
        <v>652</v>
      </c>
      <c r="C70" s="13" t="s">
        <v>140</v>
      </c>
      <c r="D70" s="13" t="s">
        <v>1825</v>
      </c>
      <c r="E70" s="13" t="s">
        <v>1620</v>
      </c>
      <c r="F70" s="13" t="s">
        <v>1826</v>
      </c>
    </row>
    <row r="71" spans="1:6" ht="48" customHeight="1">
      <c r="A71" s="13" t="s">
        <v>653</v>
      </c>
      <c r="B71" s="13" t="s">
        <v>661</v>
      </c>
      <c r="C71" s="13" t="s">
        <v>140</v>
      </c>
      <c r="D71" s="13" t="s">
        <v>1825</v>
      </c>
      <c r="E71" s="13" t="s">
        <v>1620</v>
      </c>
      <c r="F71" s="13" t="s">
        <v>1826</v>
      </c>
    </row>
    <row r="72" spans="1:6" ht="48" customHeight="1">
      <c r="A72" s="13" t="s">
        <v>664</v>
      </c>
      <c r="B72" s="13" t="s">
        <v>666</v>
      </c>
      <c r="C72" s="13" t="s">
        <v>140</v>
      </c>
      <c r="D72" s="13" t="s">
        <v>1825</v>
      </c>
      <c r="E72" s="13" t="s">
        <v>1620</v>
      </c>
      <c r="F72" s="13" t="s">
        <v>1826</v>
      </c>
    </row>
    <row r="73" spans="1:6" ht="48" customHeight="1">
      <c r="A73" s="13" t="s">
        <v>667</v>
      </c>
      <c r="B73" s="13" t="s">
        <v>672</v>
      </c>
      <c r="C73" s="13" t="s">
        <v>140</v>
      </c>
      <c r="D73" s="13" t="s">
        <v>1825</v>
      </c>
      <c r="E73" s="13" t="s">
        <v>1620</v>
      </c>
      <c r="F73" s="13" t="s">
        <v>1826</v>
      </c>
    </row>
    <row r="74" spans="1:6" ht="48" customHeight="1">
      <c r="A74" s="13" t="s">
        <v>673</v>
      </c>
      <c r="B74" s="13" t="s">
        <v>680</v>
      </c>
      <c r="C74" s="13" t="s">
        <v>140</v>
      </c>
      <c r="D74" s="13" t="s">
        <v>1825</v>
      </c>
      <c r="E74" s="13" t="s">
        <v>1620</v>
      </c>
      <c r="F74" s="13" t="s">
        <v>1826</v>
      </c>
    </row>
    <row r="75" spans="1:6" ht="48" customHeight="1">
      <c r="A75" s="13" t="s">
        <v>681</v>
      </c>
      <c r="B75" s="13" t="s">
        <v>202</v>
      </c>
      <c r="C75" s="13" t="s">
        <v>140</v>
      </c>
      <c r="D75" s="13" t="s">
        <v>1825</v>
      </c>
      <c r="E75" s="13" t="s">
        <v>1620</v>
      </c>
      <c r="F75" s="13" t="s">
        <v>1826</v>
      </c>
    </row>
    <row r="76" spans="1:6" ht="48" customHeight="1">
      <c r="A76" s="13" t="s">
        <v>686</v>
      </c>
      <c r="B76" s="13"/>
      <c r="C76" s="13" t="s">
        <v>248</v>
      </c>
      <c r="D76" s="13" t="s">
        <v>1825</v>
      </c>
      <c r="E76" s="13" t="s">
        <v>1620</v>
      </c>
      <c r="F76" s="13" t="s">
        <v>1827</v>
      </c>
    </row>
    <row r="77" spans="1:6" ht="48" customHeight="1">
      <c r="A77" s="13" t="s">
        <v>689</v>
      </c>
      <c r="B77" s="13"/>
      <c r="C77" s="13" t="s">
        <v>248</v>
      </c>
      <c r="D77" s="13" t="s">
        <v>1825</v>
      </c>
      <c r="E77" s="13" t="s">
        <v>1620</v>
      </c>
      <c r="F77" s="13" t="s">
        <v>1827</v>
      </c>
    </row>
    <row r="78" spans="1:6" ht="48" customHeight="1">
      <c r="A78" s="13" t="s">
        <v>697</v>
      </c>
      <c r="B78" s="13" t="s">
        <v>702</v>
      </c>
      <c r="C78" s="13" t="s">
        <v>140</v>
      </c>
      <c r="D78" s="13" t="s">
        <v>1825</v>
      </c>
      <c r="E78" s="13" t="s">
        <v>1620</v>
      </c>
      <c r="F78" s="13" t="s">
        <v>1826</v>
      </c>
    </row>
    <row r="79" spans="1:6" ht="48" customHeight="1">
      <c r="A79" s="13" t="s">
        <v>703</v>
      </c>
      <c r="B79" s="13" t="s">
        <v>708</v>
      </c>
      <c r="C79" s="13" t="s">
        <v>140</v>
      </c>
      <c r="D79" s="13" t="s">
        <v>1825</v>
      </c>
      <c r="E79" s="13" t="s">
        <v>1620</v>
      </c>
      <c r="F79" s="13" t="s">
        <v>1826</v>
      </c>
    </row>
    <row r="80" spans="1:6" ht="48" customHeight="1">
      <c r="A80" s="13" t="s">
        <v>709</v>
      </c>
      <c r="B80" s="13"/>
      <c r="C80" s="13" t="s">
        <v>248</v>
      </c>
      <c r="D80" s="13" t="s">
        <v>1825</v>
      </c>
      <c r="E80" s="13" t="s">
        <v>1620</v>
      </c>
      <c r="F80" s="13" t="s">
        <v>1827</v>
      </c>
    </row>
    <row r="81" spans="1:6" ht="48" customHeight="1">
      <c r="A81" s="13" t="s">
        <v>715</v>
      </c>
      <c r="B81" s="13"/>
      <c r="C81" s="13" t="s">
        <v>248</v>
      </c>
      <c r="D81" s="13" t="s">
        <v>1825</v>
      </c>
      <c r="E81" s="13" t="s">
        <v>1620</v>
      </c>
      <c r="F81" s="13" t="s">
        <v>1827</v>
      </c>
    </row>
    <row r="82" spans="1:6" ht="48" customHeight="1">
      <c r="A82" s="13" t="s">
        <v>717</v>
      </c>
      <c r="B82" s="13" t="s">
        <v>724</v>
      </c>
      <c r="C82" s="13" t="s">
        <v>140</v>
      </c>
      <c r="D82" s="13" t="s">
        <v>1825</v>
      </c>
      <c r="E82" s="13" t="s">
        <v>1620</v>
      </c>
      <c r="F82" s="13" t="s">
        <v>1826</v>
      </c>
    </row>
    <row r="83" spans="1:6" ht="48" customHeight="1">
      <c r="A83" s="13" t="s">
        <v>725</v>
      </c>
      <c r="B83" s="13" t="s">
        <v>337</v>
      </c>
      <c r="C83" s="13" t="s">
        <v>140</v>
      </c>
      <c r="D83" s="13" t="s">
        <v>1825</v>
      </c>
      <c r="E83" s="13" t="s">
        <v>1620</v>
      </c>
      <c r="F83" s="13" t="s">
        <v>1826</v>
      </c>
    </row>
    <row r="84" spans="1:6" ht="48" customHeight="1">
      <c r="A84" s="13" t="s">
        <v>729</v>
      </c>
      <c r="B84" s="13"/>
      <c r="C84" s="13" t="s">
        <v>248</v>
      </c>
      <c r="D84" s="13" t="s">
        <v>1825</v>
      </c>
      <c r="E84" s="13" t="s">
        <v>1620</v>
      </c>
      <c r="F84" s="13" t="s">
        <v>1827</v>
      </c>
    </row>
    <row r="85" spans="1:6" ht="48" customHeight="1">
      <c r="A85" s="13" t="s">
        <v>734</v>
      </c>
      <c r="B85" s="13"/>
      <c r="C85" s="13" t="s">
        <v>248</v>
      </c>
      <c r="D85" s="13" t="s">
        <v>1825</v>
      </c>
      <c r="E85" s="13" t="s">
        <v>1620</v>
      </c>
      <c r="F85" s="13" t="s">
        <v>1827</v>
      </c>
    </row>
  </sheetData>
  <mergeCells count="1">
    <mergeCell ref="A1:F2"/>
  </mergeCells>
  <phoneticPr fontId="9" type="noConversion"/>
  <conditionalFormatting sqref="C5:C85">
    <cfRule type="containsText" dxfId="3" priority="1" operator="containsText" text="否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5"/>
  <sheetViews>
    <sheetView showGridLines="0" tabSelected="1" workbookViewId="0">
      <selection sqref="A1:L2"/>
    </sheetView>
  </sheetViews>
  <sheetFormatPr defaultRowHeight="13.5"/>
  <cols>
    <col min="1" max="1" width="20" customWidth="1"/>
    <col min="2" max="3" width="18" customWidth="1"/>
    <col min="4" max="4" width="22" customWidth="1"/>
    <col min="5" max="5" width="16" customWidth="1"/>
    <col min="6" max="6" width="30" customWidth="1"/>
    <col min="7" max="7" width="23" customWidth="1"/>
    <col min="8" max="8" width="26" customWidth="1"/>
    <col min="9" max="9" width="28" customWidth="1"/>
    <col min="10" max="10" width="10" customWidth="1"/>
    <col min="11" max="11" width="68" customWidth="1"/>
    <col min="12" max="12" width="62" customWidth="1"/>
  </cols>
  <sheetData>
    <row r="1" spans="1:12">
      <c r="A1" s="21" t="s">
        <v>1828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48" customHeight="1">
      <c r="A4" s="12" t="s">
        <v>67</v>
      </c>
      <c r="B4" s="12" t="s">
        <v>1829</v>
      </c>
      <c r="C4" s="12" t="s">
        <v>1830</v>
      </c>
      <c r="D4" s="12" t="s">
        <v>1831</v>
      </c>
      <c r="E4" s="12" t="s">
        <v>94</v>
      </c>
      <c r="F4" s="12" t="s">
        <v>1832</v>
      </c>
      <c r="G4" s="12" t="s">
        <v>1833</v>
      </c>
      <c r="H4" s="12" t="s">
        <v>128</v>
      </c>
      <c r="I4" s="12" t="s">
        <v>1834</v>
      </c>
      <c r="J4" s="12" t="s">
        <v>49</v>
      </c>
      <c r="K4" s="12" t="s">
        <v>1835</v>
      </c>
      <c r="L4" s="12" t="s">
        <v>1836</v>
      </c>
    </row>
    <row r="5" spans="1:12" ht="60" customHeight="1">
      <c r="A5" s="13" t="s">
        <v>34</v>
      </c>
      <c r="B5" s="13" t="s">
        <v>1837</v>
      </c>
      <c r="C5" s="13" t="s">
        <v>1838</v>
      </c>
      <c r="D5" s="18" t="s">
        <v>2294</v>
      </c>
      <c r="E5" s="18" t="s">
        <v>2295</v>
      </c>
      <c r="F5" s="13" t="s">
        <v>1839</v>
      </c>
      <c r="G5" s="18" t="s">
        <v>2285</v>
      </c>
      <c r="H5" s="13" t="s">
        <v>164</v>
      </c>
      <c r="I5" s="13" t="s">
        <v>169</v>
      </c>
      <c r="J5" s="13" t="s">
        <v>165</v>
      </c>
      <c r="K5" s="13" t="s">
        <v>1840</v>
      </c>
      <c r="L5" s="18" t="s">
        <v>2280</v>
      </c>
    </row>
    <row r="6" spans="1:12" ht="60" customHeight="1">
      <c r="A6" s="13" t="s">
        <v>37</v>
      </c>
      <c r="B6" s="13" t="s">
        <v>1837</v>
      </c>
      <c r="C6" s="13" t="s">
        <v>1838</v>
      </c>
      <c r="D6" s="18" t="s">
        <v>2290</v>
      </c>
      <c r="E6" s="18" t="s">
        <v>2291</v>
      </c>
      <c r="F6" s="13" t="s">
        <v>1839</v>
      </c>
      <c r="G6" s="18" t="s">
        <v>2292</v>
      </c>
      <c r="H6" s="13" t="s">
        <v>164</v>
      </c>
      <c r="I6" s="13" t="s">
        <v>190</v>
      </c>
      <c r="J6" s="13" t="s">
        <v>1842</v>
      </c>
      <c r="K6" s="13" t="s">
        <v>1843</v>
      </c>
      <c r="L6" s="18" t="s">
        <v>2280</v>
      </c>
    </row>
    <row r="7" spans="1:12" ht="60" customHeight="1">
      <c r="A7" s="13" t="s">
        <v>38</v>
      </c>
      <c r="B7" s="13" t="s">
        <v>1837</v>
      </c>
      <c r="C7" s="13" t="s">
        <v>1838</v>
      </c>
      <c r="D7" s="18" t="s">
        <v>2283</v>
      </c>
      <c r="E7" s="18" t="s">
        <v>2284</v>
      </c>
      <c r="F7" s="13" t="s">
        <v>1839</v>
      </c>
      <c r="G7" s="18" t="s">
        <v>2285</v>
      </c>
      <c r="H7" s="13" t="s">
        <v>201</v>
      </c>
      <c r="I7" s="13" t="s">
        <v>206</v>
      </c>
      <c r="J7" s="13" t="s">
        <v>1842</v>
      </c>
      <c r="K7" s="13" t="s">
        <v>1845</v>
      </c>
      <c r="L7" s="18" t="s">
        <v>2280</v>
      </c>
    </row>
    <row r="8" spans="1:12" ht="60" customHeight="1">
      <c r="A8" s="13" t="s">
        <v>48</v>
      </c>
      <c r="B8" s="13" t="s">
        <v>1837</v>
      </c>
      <c r="C8" s="13" t="s">
        <v>1838</v>
      </c>
      <c r="D8" s="18" t="s">
        <v>2277</v>
      </c>
      <c r="E8" s="18" t="s">
        <v>2278</v>
      </c>
      <c r="F8" s="13" t="s">
        <v>1839</v>
      </c>
      <c r="G8" s="18" t="s">
        <v>2279</v>
      </c>
      <c r="H8" s="13" t="s">
        <v>164</v>
      </c>
      <c r="I8" s="13" t="s">
        <v>169</v>
      </c>
      <c r="J8" s="13" t="s">
        <v>1842</v>
      </c>
      <c r="K8" s="13" t="s">
        <v>1846</v>
      </c>
      <c r="L8" s="18" t="s">
        <v>2280</v>
      </c>
    </row>
    <row r="9" spans="1:12" ht="60" customHeight="1">
      <c r="A9" s="13" t="s">
        <v>44</v>
      </c>
      <c r="B9" s="13" t="s">
        <v>1837</v>
      </c>
      <c r="C9" s="13" t="s">
        <v>1838</v>
      </c>
      <c r="D9" s="18" t="s">
        <v>2286</v>
      </c>
      <c r="E9" s="18" t="s">
        <v>2287</v>
      </c>
      <c r="F9" s="13" t="s">
        <v>1839</v>
      </c>
      <c r="G9" s="18" t="s">
        <v>2288</v>
      </c>
      <c r="H9" s="13" t="s">
        <v>164</v>
      </c>
      <c r="I9" s="13" t="s">
        <v>234</v>
      </c>
      <c r="J9" s="13" t="s">
        <v>1842</v>
      </c>
      <c r="K9" s="13" t="s">
        <v>1847</v>
      </c>
      <c r="L9" s="18" t="s">
        <v>2280</v>
      </c>
    </row>
    <row r="10" spans="1:12" ht="60" customHeight="1">
      <c r="A10" s="13" t="s">
        <v>43</v>
      </c>
      <c r="B10" s="13" t="s">
        <v>1837</v>
      </c>
      <c r="C10" s="13" t="s">
        <v>1848</v>
      </c>
      <c r="D10" s="18" t="s">
        <v>2281</v>
      </c>
      <c r="E10" s="18" t="s">
        <v>2312</v>
      </c>
      <c r="F10" s="13" t="s">
        <v>1839</v>
      </c>
      <c r="G10" s="18" t="s">
        <v>2285</v>
      </c>
      <c r="H10" s="13" t="s">
        <v>1841</v>
      </c>
      <c r="I10" s="13" t="s">
        <v>169</v>
      </c>
      <c r="J10" s="13" t="s">
        <v>1842</v>
      </c>
      <c r="K10" s="13" t="s">
        <v>1846</v>
      </c>
      <c r="L10" s="18" t="s">
        <v>2280</v>
      </c>
    </row>
    <row r="11" spans="1:12" ht="60" customHeight="1">
      <c r="A11" s="13" t="s">
        <v>47</v>
      </c>
      <c r="B11" s="13" t="s">
        <v>337</v>
      </c>
      <c r="C11" s="13" t="s">
        <v>1849</v>
      </c>
      <c r="D11" s="18" t="s">
        <v>2281</v>
      </c>
      <c r="E11" s="18" t="s">
        <v>2321</v>
      </c>
      <c r="F11" s="13" t="s">
        <v>1839</v>
      </c>
      <c r="G11" s="18" t="s">
        <v>2285</v>
      </c>
      <c r="H11" s="13" t="s">
        <v>164</v>
      </c>
      <c r="I11" s="13" t="s">
        <v>169</v>
      </c>
      <c r="J11" s="13" t="s">
        <v>1842</v>
      </c>
      <c r="K11" s="13" t="s">
        <v>1846</v>
      </c>
      <c r="L11" s="18" t="s">
        <v>2280</v>
      </c>
    </row>
    <row r="12" spans="1:12" ht="60" customHeight="1">
      <c r="A12" s="13" t="s">
        <v>52</v>
      </c>
      <c r="B12" s="13" t="s">
        <v>1837</v>
      </c>
      <c r="C12" s="13" t="s">
        <v>1849</v>
      </c>
      <c r="D12" s="18" t="s">
        <v>2318</v>
      </c>
      <c r="E12" s="18" t="s">
        <v>2319</v>
      </c>
      <c r="F12" s="13" t="s">
        <v>1839</v>
      </c>
      <c r="G12" s="18" t="s">
        <v>2285</v>
      </c>
      <c r="H12" s="13" t="s">
        <v>164</v>
      </c>
      <c r="I12" s="13" t="s">
        <v>169</v>
      </c>
      <c r="J12" s="13" t="s">
        <v>1842</v>
      </c>
      <c r="K12" s="13" t="s">
        <v>1850</v>
      </c>
      <c r="L12" s="18" t="s">
        <v>2299</v>
      </c>
    </row>
    <row r="13" spans="1:12" ht="60" customHeight="1">
      <c r="A13" s="13" t="s">
        <v>51</v>
      </c>
      <c r="B13" s="13" t="s">
        <v>1837</v>
      </c>
      <c r="C13" s="13" t="s">
        <v>1849</v>
      </c>
      <c r="D13" s="18" t="s">
        <v>2290</v>
      </c>
      <c r="E13" s="18" t="s">
        <v>2303</v>
      </c>
      <c r="F13" s="13" t="s">
        <v>1839</v>
      </c>
      <c r="G13" s="18" t="s">
        <v>2285</v>
      </c>
      <c r="H13" s="13" t="s">
        <v>164</v>
      </c>
      <c r="I13" s="13" t="s">
        <v>169</v>
      </c>
      <c r="J13" s="13" t="s">
        <v>1842</v>
      </c>
      <c r="K13" s="13" t="s">
        <v>1850</v>
      </c>
      <c r="L13" s="18" t="s">
        <v>2280</v>
      </c>
    </row>
    <row r="14" spans="1:12" ht="60" customHeight="1">
      <c r="A14" s="13" t="s">
        <v>54</v>
      </c>
      <c r="B14" s="13" t="s">
        <v>1837</v>
      </c>
      <c r="C14" s="13" t="s">
        <v>1849</v>
      </c>
      <c r="D14" s="18" t="s">
        <v>2296</v>
      </c>
      <c r="E14" s="18" t="s">
        <v>2297</v>
      </c>
      <c r="F14" s="13" t="s">
        <v>1839</v>
      </c>
      <c r="G14" s="18" t="s">
        <v>2285</v>
      </c>
      <c r="H14" s="13" t="s">
        <v>281</v>
      </c>
      <c r="I14" s="13" t="s">
        <v>169</v>
      </c>
      <c r="J14" s="13" t="s">
        <v>1842</v>
      </c>
      <c r="K14" s="13" t="s">
        <v>1846</v>
      </c>
      <c r="L14" s="18" t="s">
        <v>2280</v>
      </c>
    </row>
    <row r="15" spans="1:12" ht="60" customHeight="1">
      <c r="A15" s="13" t="s">
        <v>53</v>
      </c>
      <c r="B15" s="13" t="s">
        <v>1837</v>
      </c>
      <c r="C15" s="13" t="s">
        <v>1849</v>
      </c>
      <c r="D15" s="18" t="s">
        <v>2315</v>
      </c>
      <c r="E15" s="18" t="s">
        <v>2316</v>
      </c>
      <c r="F15" s="13" t="s">
        <v>1839</v>
      </c>
      <c r="G15" s="18" t="s">
        <v>2285</v>
      </c>
      <c r="H15" s="13" t="s">
        <v>164</v>
      </c>
      <c r="I15" s="13" t="s">
        <v>169</v>
      </c>
      <c r="J15" s="13" t="s">
        <v>1842</v>
      </c>
      <c r="K15" s="13" t="s">
        <v>1850</v>
      </c>
      <c r="L15" s="18" t="s">
        <v>2280</v>
      </c>
    </row>
    <row r="16" spans="1:12" ht="60" customHeight="1">
      <c r="A16" s="13" t="s">
        <v>57</v>
      </c>
      <c r="B16" s="13" t="s">
        <v>1837</v>
      </c>
      <c r="C16" s="13" t="s">
        <v>1849</v>
      </c>
      <c r="D16" s="18" t="s">
        <v>2306</v>
      </c>
      <c r="E16" s="18" t="s">
        <v>2278</v>
      </c>
      <c r="F16" s="13" t="s">
        <v>1839</v>
      </c>
      <c r="G16" s="18" t="s">
        <v>2285</v>
      </c>
      <c r="H16" s="13" t="s">
        <v>164</v>
      </c>
      <c r="I16" s="13" t="s">
        <v>169</v>
      </c>
      <c r="J16" s="13" t="s">
        <v>1842</v>
      </c>
      <c r="K16" s="13" t="s">
        <v>1850</v>
      </c>
      <c r="L16" s="18" t="s">
        <v>2280</v>
      </c>
    </row>
    <row r="17" spans="1:12" ht="60" customHeight="1">
      <c r="A17" s="13" t="s">
        <v>55</v>
      </c>
      <c r="B17" s="13" t="s">
        <v>1837</v>
      </c>
      <c r="C17" s="13" t="s">
        <v>1849</v>
      </c>
      <c r="D17" s="18" t="s">
        <v>2290</v>
      </c>
      <c r="E17" s="18" t="s">
        <v>2317</v>
      </c>
      <c r="F17" s="13" t="s">
        <v>1839</v>
      </c>
      <c r="G17" s="18" t="s">
        <v>2285</v>
      </c>
      <c r="H17" s="13" t="s">
        <v>164</v>
      </c>
      <c r="I17" s="13" t="s">
        <v>169</v>
      </c>
      <c r="J17" s="13" t="s">
        <v>1842</v>
      </c>
      <c r="K17" s="13" t="s">
        <v>1850</v>
      </c>
      <c r="L17" s="18" t="s">
        <v>2322</v>
      </c>
    </row>
    <row r="18" spans="1:12" ht="60" customHeight="1">
      <c r="A18" s="13" t="s">
        <v>306</v>
      </c>
      <c r="B18" s="13" t="s">
        <v>1837</v>
      </c>
      <c r="C18" s="13" t="s">
        <v>1838</v>
      </c>
      <c r="D18" s="18" t="s">
        <v>2281</v>
      </c>
      <c r="E18" s="18" t="s">
        <v>2282</v>
      </c>
      <c r="F18" s="13" t="s">
        <v>1839</v>
      </c>
      <c r="G18" s="18" t="s">
        <v>1968</v>
      </c>
      <c r="H18" s="13" t="s">
        <v>164</v>
      </c>
      <c r="I18" s="13" t="s">
        <v>169</v>
      </c>
      <c r="J18" s="13" t="s">
        <v>1842</v>
      </c>
      <c r="K18" s="13" t="s">
        <v>1850</v>
      </c>
      <c r="L18" s="18" t="s">
        <v>2280</v>
      </c>
    </row>
    <row r="19" spans="1:12" ht="60" customHeight="1">
      <c r="A19" s="13" t="s">
        <v>56</v>
      </c>
      <c r="B19" s="13" t="s">
        <v>1837</v>
      </c>
      <c r="C19" s="13" t="s">
        <v>1849</v>
      </c>
      <c r="D19" s="18" t="s">
        <v>2290</v>
      </c>
      <c r="E19" s="18" t="s">
        <v>2317</v>
      </c>
      <c r="F19" s="13" t="s">
        <v>1839</v>
      </c>
      <c r="G19" s="18" t="s">
        <v>2285</v>
      </c>
      <c r="H19" s="13" t="s">
        <v>164</v>
      </c>
      <c r="I19" s="13" t="s">
        <v>169</v>
      </c>
      <c r="J19" s="13" t="s">
        <v>1842</v>
      </c>
      <c r="K19" s="13" t="s">
        <v>1846</v>
      </c>
      <c r="L19" s="18" t="s">
        <v>2280</v>
      </c>
    </row>
    <row r="20" spans="1:12" ht="60" customHeight="1">
      <c r="A20" s="13" t="s">
        <v>320</v>
      </c>
      <c r="B20" s="13" t="s">
        <v>1837</v>
      </c>
      <c r="C20" s="13" t="s">
        <v>1844</v>
      </c>
      <c r="D20" s="18" t="s">
        <v>2290</v>
      </c>
      <c r="E20" s="18" t="s">
        <v>2323</v>
      </c>
      <c r="F20" s="13" t="s">
        <v>1839</v>
      </c>
      <c r="G20" s="18" t="s">
        <v>2285</v>
      </c>
      <c r="H20" s="13" t="s">
        <v>164</v>
      </c>
      <c r="I20" s="13" t="s">
        <v>169</v>
      </c>
      <c r="J20" s="13" t="s">
        <v>1842</v>
      </c>
      <c r="K20" s="13" t="s">
        <v>1850</v>
      </c>
      <c r="L20" s="18" t="s">
        <v>2322</v>
      </c>
    </row>
    <row r="21" spans="1:12" ht="60" customHeight="1">
      <c r="A21" s="13" t="s">
        <v>326</v>
      </c>
      <c r="B21" s="13" t="s">
        <v>1837</v>
      </c>
      <c r="C21" s="13" t="s">
        <v>1849</v>
      </c>
      <c r="D21" s="18" t="s">
        <v>2293</v>
      </c>
      <c r="E21" s="18" t="s">
        <v>2282</v>
      </c>
      <c r="F21" s="13" t="s">
        <v>1839</v>
      </c>
      <c r="G21" s="18" t="s">
        <v>2285</v>
      </c>
      <c r="H21" s="13" t="s">
        <v>164</v>
      </c>
      <c r="I21" s="13" t="s">
        <v>169</v>
      </c>
      <c r="J21" s="13" t="s">
        <v>1842</v>
      </c>
      <c r="K21" s="13" t="s">
        <v>1850</v>
      </c>
      <c r="L21" s="18" t="s">
        <v>2280</v>
      </c>
    </row>
    <row r="22" spans="1:12" ht="60" customHeight="1">
      <c r="A22" s="13" t="s">
        <v>331</v>
      </c>
      <c r="B22" s="13" t="s">
        <v>1851</v>
      </c>
      <c r="C22" s="13" t="s">
        <v>1852</v>
      </c>
      <c r="D22" s="18" t="s">
        <v>2296</v>
      </c>
      <c r="E22" s="18" t="s">
        <v>2308</v>
      </c>
      <c r="F22" s="13" t="s">
        <v>1839</v>
      </c>
      <c r="G22" s="18" t="s">
        <v>2285</v>
      </c>
      <c r="H22" s="13" t="s">
        <v>164</v>
      </c>
      <c r="I22" s="13" t="s">
        <v>169</v>
      </c>
      <c r="J22" s="13" t="s">
        <v>1842</v>
      </c>
      <c r="K22" s="13" t="s">
        <v>1850</v>
      </c>
      <c r="L22" s="18" t="s">
        <v>2280</v>
      </c>
    </row>
    <row r="23" spans="1:12" ht="60" customHeight="1">
      <c r="A23" s="13" t="s">
        <v>338</v>
      </c>
      <c r="B23" s="13" t="s">
        <v>337</v>
      </c>
      <c r="C23" s="13" t="s">
        <v>1849</v>
      </c>
      <c r="D23" s="18" t="s">
        <v>2290</v>
      </c>
      <c r="E23" s="18" t="s">
        <v>2326</v>
      </c>
      <c r="F23" s="13" t="s">
        <v>1839</v>
      </c>
      <c r="G23" s="18" t="s">
        <v>2285</v>
      </c>
      <c r="H23" s="13" t="s">
        <v>164</v>
      </c>
      <c r="I23" s="13" t="s">
        <v>169</v>
      </c>
      <c r="J23" s="13" t="s">
        <v>1842</v>
      </c>
      <c r="K23" s="13" t="s">
        <v>1850</v>
      </c>
      <c r="L23" s="18" t="s">
        <v>2280</v>
      </c>
    </row>
    <row r="24" spans="1:12" ht="60" customHeight="1">
      <c r="A24" s="13" t="s">
        <v>344</v>
      </c>
      <c r="B24" s="13" t="s">
        <v>1853</v>
      </c>
      <c r="C24" s="13" t="s">
        <v>1854</v>
      </c>
      <c r="D24" s="18" t="s">
        <v>2327</v>
      </c>
      <c r="E24" s="18" t="s">
        <v>2328</v>
      </c>
      <c r="F24" s="13" t="s">
        <v>1839</v>
      </c>
      <c r="G24" s="18" t="s">
        <v>2285</v>
      </c>
      <c r="H24" s="13" t="s">
        <v>164</v>
      </c>
      <c r="I24" s="13" t="s">
        <v>169</v>
      </c>
      <c r="J24" s="13" t="s">
        <v>1842</v>
      </c>
      <c r="K24" s="13" t="s">
        <v>1850</v>
      </c>
      <c r="L24" s="18" t="s">
        <v>2322</v>
      </c>
    </row>
    <row r="25" spans="1:12" ht="60" customHeight="1">
      <c r="A25" s="13" t="s">
        <v>349</v>
      </c>
      <c r="B25" s="13" t="s">
        <v>337</v>
      </c>
      <c r="C25" s="13" t="s">
        <v>1849</v>
      </c>
      <c r="D25" s="18" t="s">
        <v>2315</v>
      </c>
      <c r="E25" s="18" t="s">
        <v>2329</v>
      </c>
      <c r="F25" s="13" t="s">
        <v>1839</v>
      </c>
      <c r="G25" s="18" t="s">
        <v>2285</v>
      </c>
      <c r="H25" s="13" t="s">
        <v>164</v>
      </c>
      <c r="I25" s="13" t="s">
        <v>169</v>
      </c>
      <c r="J25" s="13" t="s">
        <v>1842</v>
      </c>
      <c r="K25" s="13" t="s">
        <v>1850</v>
      </c>
      <c r="L25" s="18" t="s">
        <v>2299</v>
      </c>
    </row>
    <row r="26" spans="1:12" ht="60" customHeight="1">
      <c r="A26" s="13" t="s">
        <v>354</v>
      </c>
      <c r="B26" s="13" t="s">
        <v>1855</v>
      </c>
      <c r="C26" s="13" t="s">
        <v>1852</v>
      </c>
      <c r="D26" s="18" t="s">
        <v>1974</v>
      </c>
      <c r="E26" s="18" t="s">
        <v>2313</v>
      </c>
      <c r="F26" s="13" t="s">
        <v>1839</v>
      </c>
      <c r="G26" s="18" t="s">
        <v>2285</v>
      </c>
      <c r="H26" s="13" t="s">
        <v>362</v>
      </c>
      <c r="I26" s="13" t="s">
        <v>169</v>
      </c>
      <c r="J26" s="13" t="s">
        <v>1842</v>
      </c>
      <c r="K26" s="13" t="s">
        <v>1850</v>
      </c>
      <c r="L26" s="18" t="s">
        <v>2280</v>
      </c>
    </row>
    <row r="27" spans="1:12" ht="60" customHeight="1">
      <c r="A27" s="13" t="s">
        <v>364</v>
      </c>
      <c r="B27" s="13" t="s">
        <v>1851</v>
      </c>
      <c r="C27" s="13" t="s">
        <v>1852</v>
      </c>
      <c r="D27" s="18" t="s">
        <v>2281</v>
      </c>
      <c r="E27" s="18" t="s">
        <v>2289</v>
      </c>
      <c r="F27" s="13" t="s">
        <v>1839</v>
      </c>
      <c r="G27" s="18" t="s">
        <v>2285</v>
      </c>
      <c r="H27" s="13" t="s">
        <v>164</v>
      </c>
      <c r="I27" s="13" t="s">
        <v>169</v>
      </c>
      <c r="J27" s="13" t="s">
        <v>1842</v>
      </c>
      <c r="K27" s="13" t="s">
        <v>1850</v>
      </c>
      <c r="L27" s="18" t="s">
        <v>2280</v>
      </c>
    </row>
    <row r="28" spans="1:12" ht="60" customHeight="1">
      <c r="A28" s="13" t="s">
        <v>370</v>
      </c>
      <c r="B28" s="13" t="s">
        <v>1837</v>
      </c>
      <c r="C28" s="13" t="s">
        <v>1849</v>
      </c>
      <c r="D28" s="18" t="s">
        <v>2281</v>
      </c>
      <c r="E28" s="18" t="s">
        <v>2312</v>
      </c>
      <c r="F28" s="13" t="s">
        <v>1839</v>
      </c>
      <c r="G28" s="18" t="s">
        <v>2285</v>
      </c>
      <c r="H28" s="13" t="s">
        <v>164</v>
      </c>
      <c r="I28" s="13" t="s">
        <v>384</v>
      </c>
      <c r="J28" s="13" t="s">
        <v>1842</v>
      </c>
      <c r="K28" s="13" t="s">
        <v>1845</v>
      </c>
      <c r="L28" s="18" t="s">
        <v>2280</v>
      </c>
    </row>
    <row r="29" spans="1:12" ht="60" customHeight="1">
      <c r="A29" s="13" t="s">
        <v>387</v>
      </c>
      <c r="B29" s="13" t="s">
        <v>1837</v>
      </c>
      <c r="C29" s="13" t="s">
        <v>1849</v>
      </c>
      <c r="D29" s="18" t="s">
        <v>2304</v>
      </c>
      <c r="E29" s="18" t="s">
        <v>2305</v>
      </c>
      <c r="F29" s="13" t="s">
        <v>1839</v>
      </c>
      <c r="G29" s="18" t="s">
        <v>2285</v>
      </c>
      <c r="H29" s="13" t="s">
        <v>164</v>
      </c>
      <c r="I29" s="13" t="s">
        <v>169</v>
      </c>
      <c r="J29" s="13" t="s">
        <v>1842</v>
      </c>
      <c r="K29" s="13" t="s">
        <v>1850</v>
      </c>
      <c r="L29" s="18" t="s">
        <v>2299</v>
      </c>
    </row>
    <row r="30" spans="1:12" ht="60" customHeight="1">
      <c r="A30" s="13" t="s">
        <v>392</v>
      </c>
      <c r="B30" s="13" t="s">
        <v>1837</v>
      </c>
      <c r="C30" s="13" t="s">
        <v>1856</v>
      </c>
      <c r="D30" s="18" t="s">
        <v>2296</v>
      </c>
      <c r="E30" s="18" t="s">
        <v>2298</v>
      </c>
      <c r="F30" s="13" t="s">
        <v>1839</v>
      </c>
      <c r="G30" s="18" t="s">
        <v>2285</v>
      </c>
      <c r="H30" s="13" t="s">
        <v>164</v>
      </c>
      <c r="I30" s="13" t="s">
        <v>169</v>
      </c>
      <c r="J30" s="13" t="s">
        <v>1842</v>
      </c>
      <c r="K30" s="13" t="s">
        <v>1850</v>
      </c>
      <c r="L30" s="18" t="s">
        <v>2299</v>
      </c>
    </row>
    <row r="31" spans="1:12" ht="60" customHeight="1">
      <c r="A31" s="13" t="s">
        <v>401</v>
      </c>
      <c r="B31" s="13" t="s">
        <v>1837</v>
      </c>
      <c r="C31" s="13" t="s">
        <v>1849</v>
      </c>
      <c r="D31" s="18" t="s">
        <v>2283</v>
      </c>
      <c r="E31" s="18" t="s">
        <v>2300</v>
      </c>
      <c r="F31" s="13" t="s">
        <v>1839</v>
      </c>
      <c r="G31" s="18" t="s">
        <v>2285</v>
      </c>
      <c r="H31" s="13" t="s">
        <v>164</v>
      </c>
      <c r="I31" s="13" t="s">
        <v>169</v>
      </c>
      <c r="J31" s="13" t="s">
        <v>1842</v>
      </c>
      <c r="K31" s="13" t="s">
        <v>1850</v>
      </c>
      <c r="L31" s="18" t="s">
        <v>2280</v>
      </c>
    </row>
    <row r="32" spans="1:12" ht="60" customHeight="1">
      <c r="A32" s="13" t="s">
        <v>407</v>
      </c>
      <c r="B32" s="13" t="s">
        <v>1837</v>
      </c>
      <c r="C32" s="13" t="s">
        <v>1849</v>
      </c>
      <c r="D32" s="18" t="s">
        <v>2306</v>
      </c>
      <c r="E32" s="18" t="s">
        <v>2307</v>
      </c>
      <c r="F32" s="13" t="s">
        <v>1839</v>
      </c>
      <c r="G32" s="18" t="s">
        <v>2285</v>
      </c>
      <c r="H32" s="13" t="s">
        <v>164</v>
      </c>
      <c r="I32" s="13" t="s">
        <v>169</v>
      </c>
      <c r="J32" s="13" t="s">
        <v>1842</v>
      </c>
      <c r="K32" s="13" t="s">
        <v>1850</v>
      </c>
      <c r="L32" s="18" t="s">
        <v>2280</v>
      </c>
    </row>
    <row r="33" spans="1:12" ht="60" customHeight="1">
      <c r="A33" s="13" t="s">
        <v>415</v>
      </c>
      <c r="B33" s="13" t="s">
        <v>1837</v>
      </c>
      <c r="C33" s="13" t="s">
        <v>1849</v>
      </c>
      <c r="D33" s="18" t="s">
        <v>2296</v>
      </c>
      <c r="E33" s="18" t="s">
        <v>2309</v>
      </c>
      <c r="F33" s="13" t="s">
        <v>1839</v>
      </c>
      <c r="G33" s="18" t="s">
        <v>2285</v>
      </c>
      <c r="H33" s="13" t="s">
        <v>164</v>
      </c>
      <c r="I33" s="13" t="s">
        <v>169</v>
      </c>
      <c r="J33" s="13" t="s">
        <v>1842</v>
      </c>
      <c r="K33" s="13" t="s">
        <v>1850</v>
      </c>
      <c r="L33" s="18" t="s">
        <v>2280</v>
      </c>
    </row>
    <row r="34" spans="1:12" ht="60" customHeight="1">
      <c r="A34" s="13" t="s">
        <v>422</v>
      </c>
      <c r="B34" s="13" t="s">
        <v>1837</v>
      </c>
      <c r="C34" s="13" t="s">
        <v>1838</v>
      </c>
      <c r="D34" s="18" t="s">
        <v>2324</v>
      </c>
      <c r="E34" s="18" t="s">
        <v>2325</v>
      </c>
      <c r="F34" s="13" t="s">
        <v>1839</v>
      </c>
      <c r="G34" s="18" t="s">
        <v>2285</v>
      </c>
      <c r="H34" s="13" t="s">
        <v>1841</v>
      </c>
      <c r="I34" s="13" t="s">
        <v>169</v>
      </c>
      <c r="J34" s="13" t="s">
        <v>1842</v>
      </c>
      <c r="K34" s="13" t="s">
        <v>1850</v>
      </c>
      <c r="L34" s="18" t="s">
        <v>2280</v>
      </c>
    </row>
    <row r="35" spans="1:12" ht="60" customHeight="1">
      <c r="A35" s="13" t="s">
        <v>434</v>
      </c>
      <c r="B35" s="13" t="s">
        <v>337</v>
      </c>
      <c r="C35" s="13" t="s">
        <v>1849</v>
      </c>
      <c r="D35" s="18" t="s">
        <v>2277</v>
      </c>
      <c r="E35" s="18" t="s">
        <v>2330</v>
      </c>
      <c r="F35" s="13" t="s">
        <v>1839</v>
      </c>
      <c r="G35" s="18" t="s">
        <v>2285</v>
      </c>
      <c r="H35" s="13" t="s">
        <v>164</v>
      </c>
      <c r="I35" s="13" t="s">
        <v>169</v>
      </c>
      <c r="J35" s="13" t="s">
        <v>1842</v>
      </c>
      <c r="K35" s="13" t="s">
        <v>1850</v>
      </c>
      <c r="L35" s="18" t="s">
        <v>2280</v>
      </c>
    </row>
    <row r="36" spans="1:12" ht="60" customHeight="1">
      <c r="A36" s="13" t="s">
        <v>438</v>
      </c>
      <c r="B36" s="13" t="s">
        <v>1837</v>
      </c>
      <c r="C36" s="13" t="s">
        <v>1849</v>
      </c>
      <c r="D36" s="18" t="s">
        <v>2301</v>
      </c>
      <c r="E36" s="18" t="s">
        <v>2302</v>
      </c>
      <c r="F36" s="13" t="s">
        <v>1839</v>
      </c>
      <c r="G36" s="18" t="s">
        <v>2285</v>
      </c>
      <c r="H36" s="13" t="s">
        <v>164</v>
      </c>
      <c r="I36" s="13" t="s">
        <v>169</v>
      </c>
      <c r="J36" s="13" t="s">
        <v>1842</v>
      </c>
      <c r="K36" s="13" t="s">
        <v>1850</v>
      </c>
      <c r="L36" s="18" t="s">
        <v>2280</v>
      </c>
    </row>
    <row r="37" spans="1:12" ht="60" customHeight="1">
      <c r="A37" s="13" t="s">
        <v>443</v>
      </c>
      <c r="B37" s="13" t="s">
        <v>1857</v>
      </c>
      <c r="C37" s="13" t="s">
        <v>1858</v>
      </c>
      <c r="D37" s="18" t="s">
        <v>2327</v>
      </c>
      <c r="E37" s="18" t="s">
        <v>2331</v>
      </c>
      <c r="F37" s="13" t="s">
        <v>1839</v>
      </c>
      <c r="G37" s="18" t="s">
        <v>2285</v>
      </c>
      <c r="H37" s="13" t="s">
        <v>362</v>
      </c>
      <c r="I37" s="13" t="s">
        <v>169</v>
      </c>
      <c r="J37" s="13" t="s">
        <v>1842</v>
      </c>
      <c r="K37" s="13" t="s">
        <v>1850</v>
      </c>
      <c r="L37" s="18" t="s">
        <v>2280</v>
      </c>
    </row>
    <row r="38" spans="1:12" ht="60" customHeight="1">
      <c r="A38" s="13" t="s">
        <v>447</v>
      </c>
      <c r="B38" s="13" t="s">
        <v>1857</v>
      </c>
      <c r="C38" s="13" t="s">
        <v>1858</v>
      </c>
      <c r="D38" s="18" t="s">
        <v>2332</v>
      </c>
      <c r="E38" s="18" t="s">
        <v>2333</v>
      </c>
      <c r="F38" s="13" t="s">
        <v>1839</v>
      </c>
      <c r="G38" s="18" t="s">
        <v>2285</v>
      </c>
      <c r="H38" s="13" t="s">
        <v>362</v>
      </c>
      <c r="I38" s="13" t="s">
        <v>169</v>
      </c>
      <c r="J38" s="13" t="s">
        <v>1842</v>
      </c>
      <c r="K38" s="13" t="s">
        <v>1850</v>
      </c>
      <c r="L38" s="18" t="s">
        <v>2280</v>
      </c>
    </row>
    <row r="39" spans="1:12" ht="60" customHeight="1">
      <c r="A39" s="13" t="s">
        <v>450</v>
      </c>
      <c r="B39" s="13" t="s">
        <v>337</v>
      </c>
      <c r="C39" s="13" t="s">
        <v>1849</v>
      </c>
      <c r="D39" s="18" t="s">
        <v>2290</v>
      </c>
      <c r="E39" s="18" t="s">
        <v>2334</v>
      </c>
      <c r="F39" s="13" t="s">
        <v>1839</v>
      </c>
      <c r="G39" s="18" t="s">
        <v>2285</v>
      </c>
      <c r="H39" s="13" t="s">
        <v>164</v>
      </c>
      <c r="I39" s="13" t="s">
        <v>459</v>
      </c>
      <c r="J39" s="13" t="s">
        <v>1842</v>
      </c>
      <c r="K39" s="13" t="s">
        <v>1845</v>
      </c>
      <c r="L39" s="18" t="s">
        <v>2280</v>
      </c>
    </row>
    <row r="40" spans="1:12" ht="60" customHeight="1">
      <c r="A40" s="13" t="s">
        <v>462</v>
      </c>
      <c r="B40" s="13" t="s">
        <v>337</v>
      </c>
      <c r="C40" s="13" t="s">
        <v>1849</v>
      </c>
      <c r="D40" s="18" t="s">
        <v>2315</v>
      </c>
      <c r="E40" s="18" t="s">
        <v>2335</v>
      </c>
      <c r="F40" s="13" t="s">
        <v>1839</v>
      </c>
      <c r="G40" s="18" t="s">
        <v>2336</v>
      </c>
      <c r="H40" s="13" t="s">
        <v>164</v>
      </c>
      <c r="I40" s="13" t="s">
        <v>475</v>
      </c>
      <c r="J40" s="13" t="s">
        <v>1842</v>
      </c>
      <c r="K40" s="13" t="s">
        <v>1859</v>
      </c>
      <c r="L40" s="18" t="s">
        <v>2322</v>
      </c>
    </row>
    <row r="41" spans="1:12" ht="60" customHeight="1">
      <c r="A41" s="13" t="s">
        <v>478</v>
      </c>
      <c r="B41" s="13" t="s">
        <v>1837</v>
      </c>
      <c r="C41" s="13" t="s">
        <v>1838</v>
      </c>
      <c r="D41" s="18" t="s">
        <v>2337</v>
      </c>
      <c r="E41" s="18" t="s">
        <v>2334</v>
      </c>
      <c r="F41" s="13" t="s">
        <v>1839</v>
      </c>
      <c r="G41" s="18" t="s">
        <v>2285</v>
      </c>
      <c r="H41" s="13" t="s">
        <v>164</v>
      </c>
      <c r="I41" s="13" t="s">
        <v>169</v>
      </c>
      <c r="J41" s="13" t="s">
        <v>1842</v>
      </c>
      <c r="K41" s="13" t="s">
        <v>1850</v>
      </c>
      <c r="L41" s="18" t="s">
        <v>2280</v>
      </c>
    </row>
    <row r="42" spans="1:12" ht="60" customHeight="1">
      <c r="A42" s="13" t="s">
        <v>484</v>
      </c>
      <c r="B42" s="13" t="s">
        <v>1837</v>
      </c>
      <c r="C42" s="13" t="s">
        <v>1849</v>
      </c>
      <c r="D42" s="18" t="s">
        <v>2310</v>
      </c>
      <c r="E42" s="18" t="s">
        <v>2311</v>
      </c>
      <c r="F42" s="13" t="s">
        <v>1839</v>
      </c>
      <c r="G42" s="18" t="s">
        <v>2285</v>
      </c>
      <c r="H42" s="13" t="s">
        <v>164</v>
      </c>
      <c r="I42" s="13" t="s">
        <v>169</v>
      </c>
      <c r="J42" s="13" t="s">
        <v>1842</v>
      </c>
      <c r="K42" s="13" t="s">
        <v>1850</v>
      </c>
      <c r="L42" s="18" t="s">
        <v>2280</v>
      </c>
    </row>
    <row r="43" spans="1:12" ht="60" customHeight="1">
      <c r="A43" s="13" t="s">
        <v>491</v>
      </c>
      <c r="B43" s="13" t="s">
        <v>1857</v>
      </c>
      <c r="C43" s="13" t="s">
        <v>1858</v>
      </c>
      <c r="D43" s="18" t="s">
        <v>2332</v>
      </c>
      <c r="E43" s="18" t="s">
        <v>2302</v>
      </c>
      <c r="F43" s="13" t="s">
        <v>1839</v>
      </c>
      <c r="G43" s="18" t="s">
        <v>2285</v>
      </c>
      <c r="H43" s="13" t="s">
        <v>362</v>
      </c>
      <c r="I43" s="13" t="s">
        <v>169</v>
      </c>
      <c r="J43" s="13" t="s">
        <v>1842</v>
      </c>
      <c r="K43" s="13" t="s">
        <v>1850</v>
      </c>
      <c r="L43" s="18" t="s">
        <v>2322</v>
      </c>
    </row>
    <row r="44" spans="1:12" ht="60" customHeight="1">
      <c r="A44" s="13" t="s">
        <v>494</v>
      </c>
      <c r="B44" s="13" t="s">
        <v>1855</v>
      </c>
      <c r="C44" s="13" t="s">
        <v>1852</v>
      </c>
      <c r="D44" s="18" t="s">
        <v>2290</v>
      </c>
      <c r="E44" s="18" t="s">
        <v>2313</v>
      </c>
      <c r="F44" s="13" t="s">
        <v>1839</v>
      </c>
      <c r="G44" s="18" t="s">
        <v>2285</v>
      </c>
      <c r="H44" s="13" t="s">
        <v>164</v>
      </c>
      <c r="I44" s="13" t="s">
        <v>169</v>
      </c>
      <c r="J44" s="13" t="s">
        <v>1842</v>
      </c>
      <c r="K44" s="13" t="s">
        <v>1850</v>
      </c>
      <c r="L44" s="18" t="s">
        <v>2322</v>
      </c>
    </row>
    <row r="45" spans="1:12" ht="60" customHeight="1">
      <c r="A45" s="13" t="s">
        <v>501</v>
      </c>
      <c r="B45" s="13" t="s">
        <v>337</v>
      </c>
      <c r="C45" s="13" t="s">
        <v>1849</v>
      </c>
      <c r="D45" s="18" t="s">
        <v>2338</v>
      </c>
      <c r="E45" s="18" t="s">
        <v>2339</v>
      </c>
      <c r="F45" s="13" t="s">
        <v>1839</v>
      </c>
      <c r="G45" s="18" t="s">
        <v>2285</v>
      </c>
      <c r="H45" s="13" t="s">
        <v>164</v>
      </c>
      <c r="I45" s="13" t="s">
        <v>509</v>
      </c>
      <c r="J45" s="13" t="s">
        <v>1842</v>
      </c>
      <c r="K45" s="13" t="s">
        <v>1850</v>
      </c>
      <c r="L45" s="18" t="s">
        <v>2280</v>
      </c>
    </row>
    <row r="46" spans="1:12" ht="60" customHeight="1">
      <c r="A46" s="13" t="s">
        <v>511</v>
      </c>
      <c r="B46" s="13" t="s">
        <v>337</v>
      </c>
      <c r="C46" s="13" t="s">
        <v>1849</v>
      </c>
      <c r="D46" s="18" t="s">
        <v>2315</v>
      </c>
      <c r="E46" s="18" t="s">
        <v>2340</v>
      </c>
      <c r="F46" s="13" t="s">
        <v>1839</v>
      </c>
      <c r="G46" s="18" t="s">
        <v>2285</v>
      </c>
      <c r="H46" s="13" t="s">
        <v>164</v>
      </c>
      <c r="I46" s="13" t="s">
        <v>169</v>
      </c>
      <c r="J46" s="13" t="s">
        <v>1842</v>
      </c>
      <c r="K46" s="13" t="s">
        <v>1850</v>
      </c>
      <c r="L46" s="18" t="s">
        <v>2280</v>
      </c>
    </row>
    <row r="47" spans="1:12" ht="60" customHeight="1">
      <c r="A47" s="13" t="s">
        <v>516</v>
      </c>
      <c r="B47" s="13" t="s">
        <v>337</v>
      </c>
      <c r="C47" s="13" t="s">
        <v>1849</v>
      </c>
      <c r="D47" s="18" t="s">
        <v>2281</v>
      </c>
      <c r="E47" s="18" t="s">
        <v>2300</v>
      </c>
      <c r="F47" s="13" t="s">
        <v>1839</v>
      </c>
      <c r="G47" s="18" t="s">
        <v>2285</v>
      </c>
      <c r="H47" s="13" t="s">
        <v>164</v>
      </c>
      <c r="I47" s="13" t="s">
        <v>169</v>
      </c>
      <c r="J47" s="13" t="s">
        <v>1842</v>
      </c>
      <c r="K47" s="13" t="s">
        <v>1850</v>
      </c>
      <c r="L47" s="18" t="s">
        <v>2280</v>
      </c>
    </row>
    <row r="48" spans="1:12" ht="60" customHeight="1">
      <c r="A48" s="13" t="s">
        <v>519</v>
      </c>
      <c r="B48" s="13" t="s">
        <v>337</v>
      </c>
      <c r="C48" s="13" t="s">
        <v>1849</v>
      </c>
      <c r="D48" s="18" t="s">
        <v>2315</v>
      </c>
      <c r="E48" s="18" t="s">
        <v>2326</v>
      </c>
      <c r="F48" s="13" t="s">
        <v>1839</v>
      </c>
      <c r="G48" s="18" t="s">
        <v>2285</v>
      </c>
      <c r="H48" s="13" t="s">
        <v>164</v>
      </c>
      <c r="I48" s="13" t="s">
        <v>169</v>
      </c>
      <c r="J48" s="13" t="s">
        <v>1842</v>
      </c>
      <c r="K48" s="13" t="s">
        <v>1850</v>
      </c>
      <c r="L48" s="18" t="s">
        <v>2322</v>
      </c>
    </row>
    <row r="49" spans="1:12" ht="60" customHeight="1">
      <c r="A49" s="13" t="s">
        <v>528</v>
      </c>
      <c r="B49" s="13" t="s">
        <v>337</v>
      </c>
      <c r="C49" s="13" t="s">
        <v>1849</v>
      </c>
      <c r="D49" s="18" t="s">
        <v>2290</v>
      </c>
      <c r="E49" s="18" t="s">
        <v>2313</v>
      </c>
      <c r="F49" s="13" t="s">
        <v>1839</v>
      </c>
      <c r="G49" s="18" t="s">
        <v>2285</v>
      </c>
      <c r="H49" s="13" t="s">
        <v>164</v>
      </c>
      <c r="I49" s="13" t="s">
        <v>169</v>
      </c>
      <c r="J49" s="13" t="s">
        <v>1842</v>
      </c>
      <c r="K49" s="13" t="s">
        <v>1850</v>
      </c>
      <c r="L49" s="18" t="s">
        <v>2280</v>
      </c>
    </row>
    <row r="50" spans="1:12" ht="60" customHeight="1">
      <c r="A50" s="13" t="s">
        <v>536</v>
      </c>
      <c r="B50" s="13" t="s">
        <v>337</v>
      </c>
      <c r="C50" s="13" t="s">
        <v>1848</v>
      </c>
      <c r="D50" s="18" t="s">
        <v>2296</v>
      </c>
      <c r="E50" s="18" t="s">
        <v>2284</v>
      </c>
      <c r="F50" s="13" t="s">
        <v>1839</v>
      </c>
      <c r="G50" s="18" t="s">
        <v>2285</v>
      </c>
      <c r="H50" s="13" t="s">
        <v>164</v>
      </c>
      <c r="I50" s="13" t="s">
        <v>169</v>
      </c>
      <c r="J50" s="13" t="s">
        <v>1842</v>
      </c>
      <c r="K50" s="13" t="s">
        <v>1850</v>
      </c>
      <c r="L50" s="18" t="s">
        <v>2280</v>
      </c>
    </row>
    <row r="51" spans="1:12" ht="60" customHeight="1">
      <c r="A51" s="13" t="s">
        <v>542</v>
      </c>
      <c r="B51" s="13" t="s">
        <v>1851</v>
      </c>
      <c r="C51" s="13" t="s">
        <v>1860</v>
      </c>
      <c r="D51" s="18" t="s">
        <v>1974</v>
      </c>
      <c r="E51" s="18" t="s">
        <v>2313</v>
      </c>
      <c r="F51" s="13" t="s">
        <v>1839</v>
      </c>
      <c r="G51" s="18" t="s">
        <v>2314</v>
      </c>
      <c r="H51" s="13" t="s">
        <v>1841</v>
      </c>
      <c r="I51" s="13" t="s">
        <v>553</v>
      </c>
      <c r="J51" s="13" t="s">
        <v>1842</v>
      </c>
      <c r="K51" s="13" t="s">
        <v>1850</v>
      </c>
      <c r="L51" s="18" t="s">
        <v>2280</v>
      </c>
    </row>
    <row r="52" spans="1:12" ht="60" customHeight="1">
      <c r="A52" s="13" t="s">
        <v>556</v>
      </c>
      <c r="B52" s="13" t="s">
        <v>337</v>
      </c>
      <c r="C52" s="13" t="s">
        <v>1849</v>
      </c>
      <c r="D52" s="18" t="s">
        <v>2301</v>
      </c>
      <c r="E52" s="18" t="s">
        <v>2326</v>
      </c>
      <c r="F52" s="13" t="s">
        <v>1839</v>
      </c>
      <c r="G52" s="18" t="s">
        <v>2285</v>
      </c>
      <c r="H52" s="13" t="s">
        <v>164</v>
      </c>
      <c r="I52" s="13" t="s">
        <v>169</v>
      </c>
      <c r="J52" s="13" t="s">
        <v>1842</v>
      </c>
      <c r="K52" s="13" t="s">
        <v>1850</v>
      </c>
      <c r="L52" s="18" t="s">
        <v>2280</v>
      </c>
    </row>
    <row r="53" spans="1:12" ht="60" customHeight="1">
      <c r="A53" s="13" t="s">
        <v>561</v>
      </c>
      <c r="B53" s="13" t="s">
        <v>337</v>
      </c>
      <c r="C53" s="13" t="s">
        <v>1849</v>
      </c>
      <c r="D53" s="18" t="s">
        <v>2281</v>
      </c>
      <c r="E53" s="18" t="s">
        <v>2311</v>
      </c>
      <c r="F53" s="13" t="s">
        <v>1839</v>
      </c>
      <c r="G53" s="18" t="s">
        <v>2285</v>
      </c>
      <c r="H53" s="13" t="s">
        <v>164</v>
      </c>
      <c r="I53" s="13" t="s">
        <v>169</v>
      </c>
      <c r="J53" s="13" t="s">
        <v>1842</v>
      </c>
      <c r="K53" s="13" t="s">
        <v>1850</v>
      </c>
      <c r="L53" s="18" t="s">
        <v>2280</v>
      </c>
    </row>
    <row r="54" spans="1:12" ht="60" customHeight="1">
      <c r="A54" s="13" t="s">
        <v>564</v>
      </c>
      <c r="B54" s="13" t="s">
        <v>337</v>
      </c>
      <c r="C54" s="13" t="s">
        <v>1849</v>
      </c>
      <c r="D54" s="18" t="s">
        <v>2283</v>
      </c>
      <c r="E54" s="18" t="s">
        <v>2326</v>
      </c>
      <c r="F54" s="13" t="s">
        <v>1839</v>
      </c>
      <c r="G54" s="18" t="s">
        <v>2285</v>
      </c>
      <c r="H54" s="13" t="s">
        <v>164</v>
      </c>
      <c r="I54" s="13" t="s">
        <v>169</v>
      </c>
      <c r="J54" s="13" t="s">
        <v>1842</v>
      </c>
      <c r="K54" s="13" t="s">
        <v>1850</v>
      </c>
      <c r="L54" s="18" t="s">
        <v>2280</v>
      </c>
    </row>
    <row r="55" spans="1:12" ht="60" customHeight="1">
      <c r="A55" s="13" t="s">
        <v>570</v>
      </c>
      <c r="B55" s="13" t="s">
        <v>1857</v>
      </c>
      <c r="C55" s="13" t="s">
        <v>1858</v>
      </c>
      <c r="D55" s="18" t="s">
        <v>2332</v>
      </c>
      <c r="E55" s="18" t="s">
        <v>2341</v>
      </c>
      <c r="F55" s="13" t="s">
        <v>1839</v>
      </c>
      <c r="G55" s="18" t="s">
        <v>2285</v>
      </c>
      <c r="H55" s="13" t="s">
        <v>362</v>
      </c>
      <c r="I55" s="13" t="s">
        <v>169</v>
      </c>
      <c r="J55" s="13" t="s">
        <v>1842</v>
      </c>
      <c r="K55" s="13" t="s">
        <v>1850</v>
      </c>
      <c r="L55" s="18" t="s">
        <v>2280</v>
      </c>
    </row>
    <row r="56" spans="1:12" ht="60" customHeight="1">
      <c r="A56" s="13" t="s">
        <v>574</v>
      </c>
      <c r="B56" s="13" t="s">
        <v>337</v>
      </c>
      <c r="C56" s="13" t="s">
        <v>1849</v>
      </c>
      <c r="D56" s="18" t="s">
        <v>2296</v>
      </c>
      <c r="E56" s="18" t="s">
        <v>2317</v>
      </c>
      <c r="F56" s="13" t="s">
        <v>1839</v>
      </c>
      <c r="G56" s="18" t="s">
        <v>2285</v>
      </c>
      <c r="H56" s="13" t="s">
        <v>164</v>
      </c>
      <c r="I56" s="13" t="s">
        <v>169</v>
      </c>
      <c r="J56" s="13" t="s">
        <v>1842</v>
      </c>
      <c r="K56" s="13" t="s">
        <v>1850</v>
      </c>
      <c r="L56" s="18" t="s">
        <v>2322</v>
      </c>
    </row>
    <row r="57" spans="1:12" ht="60" customHeight="1">
      <c r="A57" s="13" t="s">
        <v>577</v>
      </c>
      <c r="B57" s="13" t="s">
        <v>337</v>
      </c>
      <c r="C57" s="13" t="s">
        <v>1849</v>
      </c>
      <c r="D57" s="18" t="s">
        <v>2296</v>
      </c>
      <c r="E57" s="18" t="s">
        <v>2334</v>
      </c>
      <c r="F57" s="13" t="s">
        <v>1839</v>
      </c>
      <c r="G57" s="18" t="s">
        <v>2285</v>
      </c>
      <c r="H57" s="13" t="s">
        <v>164</v>
      </c>
      <c r="I57" s="13" t="s">
        <v>169</v>
      </c>
      <c r="J57" s="13" t="s">
        <v>1842</v>
      </c>
      <c r="K57" s="13" t="s">
        <v>1850</v>
      </c>
      <c r="L57" s="18" t="s">
        <v>2280</v>
      </c>
    </row>
    <row r="58" spans="1:12" ht="60" customHeight="1">
      <c r="A58" s="13" t="s">
        <v>584</v>
      </c>
      <c r="B58" s="13" t="s">
        <v>337</v>
      </c>
      <c r="C58" s="13" t="s">
        <v>1849</v>
      </c>
      <c r="D58" s="18" t="s">
        <v>2342</v>
      </c>
      <c r="E58" s="18" t="s">
        <v>2340</v>
      </c>
      <c r="F58" s="13" t="s">
        <v>1839</v>
      </c>
      <c r="G58" s="18" t="s">
        <v>2285</v>
      </c>
      <c r="H58" s="13" t="s">
        <v>164</v>
      </c>
      <c r="I58" s="13" t="s">
        <v>169</v>
      </c>
      <c r="J58" s="13" t="s">
        <v>1842</v>
      </c>
      <c r="K58" s="13" t="s">
        <v>1850</v>
      </c>
      <c r="L58" s="18" t="s">
        <v>2280</v>
      </c>
    </row>
    <row r="59" spans="1:12" ht="60" customHeight="1">
      <c r="A59" s="13" t="s">
        <v>592</v>
      </c>
      <c r="B59" s="13" t="s">
        <v>337</v>
      </c>
      <c r="C59" s="13" t="s">
        <v>1849</v>
      </c>
      <c r="D59" s="18" t="s">
        <v>2283</v>
      </c>
      <c r="E59" s="18" t="s">
        <v>2330</v>
      </c>
      <c r="F59" s="13" t="s">
        <v>1839</v>
      </c>
      <c r="G59" s="18" t="s">
        <v>2285</v>
      </c>
      <c r="H59" s="13" t="s">
        <v>164</v>
      </c>
      <c r="I59" s="13" t="s">
        <v>169</v>
      </c>
      <c r="J59" s="13" t="s">
        <v>1842</v>
      </c>
      <c r="K59" s="13" t="s">
        <v>1850</v>
      </c>
      <c r="L59" s="18" t="s">
        <v>2280</v>
      </c>
    </row>
    <row r="60" spans="1:12" ht="60" customHeight="1">
      <c r="A60" s="13" t="s">
        <v>595</v>
      </c>
      <c r="B60" s="13" t="s">
        <v>337</v>
      </c>
      <c r="C60" s="13" t="s">
        <v>1849</v>
      </c>
      <c r="D60" s="18" t="s">
        <v>2281</v>
      </c>
      <c r="E60" s="18" t="s">
        <v>2343</v>
      </c>
      <c r="F60" s="13" t="s">
        <v>1839</v>
      </c>
      <c r="G60" s="18" t="s">
        <v>2285</v>
      </c>
      <c r="H60" s="13" t="s">
        <v>164</v>
      </c>
      <c r="I60" s="13" t="s">
        <v>169</v>
      </c>
      <c r="J60" s="13" t="s">
        <v>1842</v>
      </c>
      <c r="K60" s="13" t="s">
        <v>1850</v>
      </c>
      <c r="L60" s="18" t="s">
        <v>2280</v>
      </c>
    </row>
    <row r="61" spans="1:12" ht="60" customHeight="1">
      <c r="A61" s="13" t="s">
        <v>600</v>
      </c>
      <c r="B61" s="13" t="s">
        <v>337</v>
      </c>
      <c r="C61" s="13" t="s">
        <v>1849</v>
      </c>
      <c r="D61" s="18" t="s">
        <v>2296</v>
      </c>
      <c r="E61" s="18" t="s">
        <v>2344</v>
      </c>
      <c r="F61" s="13" t="s">
        <v>1839</v>
      </c>
      <c r="G61" s="18" t="s">
        <v>2285</v>
      </c>
      <c r="H61" s="13" t="s">
        <v>164</v>
      </c>
      <c r="I61" s="13" t="s">
        <v>169</v>
      </c>
      <c r="J61" s="13" t="s">
        <v>1842</v>
      </c>
      <c r="K61" s="13" t="s">
        <v>1850</v>
      </c>
      <c r="L61" s="18" t="s">
        <v>2280</v>
      </c>
    </row>
    <row r="62" spans="1:12" ht="60" customHeight="1">
      <c r="A62" s="13" t="s">
        <v>604</v>
      </c>
      <c r="B62" s="13" t="s">
        <v>337</v>
      </c>
      <c r="C62" s="13" t="s">
        <v>1849</v>
      </c>
      <c r="D62" s="18" t="s">
        <v>2315</v>
      </c>
      <c r="E62" s="18" t="s">
        <v>2345</v>
      </c>
      <c r="F62" s="13" t="s">
        <v>1839</v>
      </c>
      <c r="G62" s="18" t="s">
        <v>2285</v>
      </c>
      <c r="H62" s="13" t="s">
        <v>164</v>
      </c>
      <c r="I62" s="13" t="s">
        <v>169</v>
      </c>
      <c r="J62" s="13" t="s">
        <v>1842</v>
      </c>
      <c r="K62" s="13" t="s">
        <v>1850</v>
      </c>
      <c r="L62" s="18" t="s">
        <v>2280</v>
      </c>
    </row>
    <row r="63" spans="1:12" ht="60" customHeight="1">
      <c r="A63" s="13" t="s">
        <v>611</v>
      </c>
      <c r="B63" s="13" t="s">
        <v>337</v>
      </c>
      <c r="C63" s="13" t="s">
        <v>1849</v>
      </c>
      <c r="D63" s="18" t="s">
        <v>2281</v>
      </c>
      <c r="E63" s="18" t="s">
        <v>2340</v>
      </c>
      <c r="F63" s="13" t="s">
        <v>1839</v>
      </c>
      <c r="G63" s="18" t="s">
        <v>2285</v>
      </c>
      <c r="H63" s="13" t="s">
        <v>164</v>
      </c>
      <c r="I63" s="13" t="s">
        <v>169</v>
      </c>
      <c r="J63" s="13" t="s">
        <v>1842</v>
      </c>
      <c r="K63" s="13" t="s">
        <v>1850</v>
      </c>
      <c r="L63" s="18" t="s">
        <v>2280</v>
      </c>
    </row>
    <row r="64" spans="1:12" ht="60" customHeight="1">
      <c r="A64" s="13" t="s">
        <v>616</v>
      </c>
      <c r="B64" s="13" t="s">
        <v>337</v>
      </c>
      <c r="C64" s="13" t="s">
        <v>1849</v>
      </c>
      <c r="D64" s="18" t="s">
        <v>2301</v>
      </c>
      <c r="E64" s="18" t="s">
        <v>2305</v>
      </c>
      <c r="F64" s="13" t="s">
        <v>1839</v>
      </c>
      <c r="G64" s="18" t="s">
        <v>2285</v>
      </c>
      <c r="H64" s="13" t="s">
        <v>1841</v>
      </c>
      <c r="I64" s="13" t="s">
        <v>169</v>
      </c>
      <c r="J64" s="13" t="s">
        <v>1842</v>
      </c>
      <c r="K64" s="13" t="s">
        <v>1850</v>
      </c>
      <c r="L64" s="18" t="s">
        <v>2280</v>
      </c>
    </row>
    <row r="65" spans="1:12" ht="60" customHeight="1">
      <c r="A65" s="13" t="s">
        <v>622</v>
      </c>
      <c r="B65" s="13" t="s">
        <v>337</v>
      </c>
      <c r="C65" s="13" t="s">
        <v>1849</v>
      </c>
      <c r="D65" s="18" t="s">
        <v>2290</v>
      </c>
      <c r="E65" s="18" t="s">
        <v>2350</v>
      </c>
      <c r="F65" s="13" t="s">
        <v>1839</v>
      </c>
      <c r="G65" s="18" t="s">
        <v>2285</v>
      </c>
      <c r="H65" s="13" t="s">
        <v>164</v>
      </c>
      <c r="I65" s="13" t="s">
        <v>169</v>
      </c>
      <c r="J65" s="13" t="s">
        <v>1842</v>
      </c>
      <c r="K65" s="13" t="s">
        <v>1850</v>
      </c>
      <c r="L65" s="18" t="s">
        <v>2299</v>
      </c>
    </row>
    <row r="66" spans="1:12" ht="60" customHeight="1">
      <c r="A66" s="13" t="s">
        <v>628</v>
      </c>
      <c r="B66" s="13" t="s">
        <v>1855</v>
      </c>
      <c r="C66" s="13" t="s">
        <v>1861</v>
      </c>
      <c r="D66" s="18" t="s">
        <v>2346</v>
      </c>
      <c r="E66" s="18" t="s">
        <v>2278</v>
      </c>
      <c r="F66" s="13" t="s">
        <v>1839</v>
      </c>
      <c r="G66" s="18" t="s">
        <v>2285</v>
      </c>
      <c r="H66" s="13" t="s">
        <v>164</v>
      </c>
      <c r="I66" s="13" t="s">
        <v>169</v>
      </c>
      <c r="J66" s="13" t="s">
        <v>1842</v>
      </c>
      <c r="K66" s="13" t="s">
        <v>1850</v>
      </c>
      <c r="L66" s="18" t="s">
        <v>2280</v>
      </c>
    </row>
    <row r="67" spans="1:12" ht="60" customHeight="1">
      <c r="A67" s="13" t="s">
        <v>632</v>
      </c>
      <c r="B67" s="13" t="s">
        <v>337</v>
      </c>
      <c r="C67" s="13" t="s">
        <v>1849</v>
      </c>
      <c r="D67" s="18" t="s">
        <v>2281</v>
      </c>
      <c r="E67" s="18" t="s">
        <v>2347</v>
      </c>
      <c r="F67" s="13" t="s">
        <v>1839</v>
      </c>
      <c r="G67" s="18" t="s">
        <v>2285</v>
      </c>
      <c r="H67" s="13" t="s">
        <v>635</v>
      </c>
      <c r="I67" s="13" t="s">
        <v>169</v>
      </c>
      <c r="J67" s="13" t="s">
        <v>1842</v>
      </c>
      <c r="K67" s="13" t="s">
        <v>1850</v>
      </c>
      <c r="L67" s="18" t="s">
        <v>2280</v>
      </c>
    </row>
    <row r="68" spans="1:12" ht="60" customHeight="1">
      <c r="A68" s="13" t="s">
        <v>636</v>
      </c>
      <c r="B68" s="13" t="s">
        <v>337</v>
      </c>
      <c r="C68" s="13" t="s">
        <v>1849</v>
      </c>
      <c r="D68" s="18" t="s">
        <v>2281</v>
      </c>
      <c r="E68" s="18" t="s">
        <v>2278</v>
      </c>
      <c r="F68" s="13" t="s">
        <v>1839</v>
      </c>
      <c r="G68" s="18" t="s">
        <v>2285</v>
      </c>
      <c r="H68" s="13" t="s">
        <v>164</v>
      </c>
      <c r="I68" s="13" t="s">
        <v>169</v>
      </c>
      <c r="J68" s="13" t="s">
        <v>1842</v>
      </c>
      <c r="K68" s="13" t="s">
        <v>1850</v>
      </c>
      <c r="L68" s="18" t="s">
        <v>2280</v>
      </c>
    </row>
    <row r="69" spans="1:12" ht="60" customHeight="1">
      <c r="A69" s="13" t="s">
        <v>642</v>
      </c>
      <c r="B69" s="13" t="s">
        <v>337</v>
      </c>
      <c r="C69" s="13" t="s">
        <v>1849</v>
      </c>
      <c r="D69" s="18" t="s">
        <v>2296</v>
      </c>
      <c r="E69" s="18" t="s">
        <v>2331</v>
      </c>
      <c r="F69" s="13" t="s">
        <v>1839</v>
      </c>
      <c r="G69" s="18" t="s">
        <v>2285</v>
      </c>
      <c r="H69" s="13" t="s">
        <v>164</v>
      </c>
      <c r="I69" s="13" t="s">
        <v>169</v>
      </c>
      <c r="J69" s="13" t="s">
        <v>1842</v>
      </c>
      <c r="K69" s="13" t="s">
        <v>1850</v>
      </c>
      <c r="L69" s="18" t="s">
        <v>2280</v>
      </c>
    </row>
    <row r="70" spans="1:12" ht="60" customHeight="1">
      <c r="A70" s="13" t="s">
        <v>648</v>
      </c>
      <c r="B70" s="13" t="s">
        <v>337</v>
      </c>
      <c r="C70" s="13" t="s">
        <v>1849</v>
      </c>
      <c r="D70" s="18" t="s">
        <v>2290</v>
      </c>
      <c r="E70" s="18" t="s">
        <v>2317</v>
      </c>
      <c r="F70" s="13" t="s">
        <v>1839</v>
      </c>
      <c r="G70" s="18" t="s">
        <v>2285</v>
      </c>
      <c r="H70" s="13" t="s">
        <v>164</v>
      </c>
      <c r="I70" s="13" t="s">
        <v>169</v>
      </c>
      <c r="J70" s="13" t="s">
        <v>1842</v>
      </c>
      <c r="K70" s="13" t="s">
        <v>1850</v>
      </c>
      <c r="L70" s="18" t="s">
        <v>2280</v>
      </c>
    </row>
    <row r="71" spans="1:12" ht="60" customHeight="1">
      <c r="A71" s="13" t="s">
        <v>653</v>
      </c>
      <c r="B71" s="13" t="s">
        <v>337</v>
      </c>
      <c r="C71" s="13" t="s">
        <v>1849</v>
      </c>
      <c r="D71" s="18" t="s">
        <v>2296</v>
      </c>
      <c r="E71" s="18" t="s">
        <v>2300</v>
      </c>
      <c r="F71" s="13" t="s">
        <v>1839</v>
      </c>
      <c r="G71" s="18" t="s">
        <v>2288</v>
      </c>
      <c r="H71" s="13" t="s">
        <v>164</v>
      </c>
      <c r="I71" s="13" t="s">
        <v>234</v>
      </c>
      <c r="J71" s="13" t="s">
        <v>1842</v>
      </c>
      <c r="K71" s="13" t="s">
        <v>1862</v>
      </c>
      <c r="L71" s="18" t="s">
        <v>2280</v>
      </c>
    </row>
    <row r="72" spans="1:12" ht="60" customHeight="1">
      <c r="A72" s="13" t="s">
        <v>664</v>
      </c>
      <c r="B72" s="13" t="s">
        <v>337</v>
      </c>
      <c r="C72" s="13" t="s">
        <v>1849</v>
      </c>
      <c r="D72" s="18" t="s">
        <v>2337</v>
      </c>
      <c r="E72" s="18" t="s">
        <v>2348</v>
      </c>
      <c r="F72" s="13" t="s">
        <v>1839</v>
      </c>
      <c r="G72" s="18" t="s">
        <v>2285</v>
      </c>
      <c r="H72" s="13" t="s">
        <v>164</v>
      </c>
      <c r="I72" s="13" t="s">
        <v>169</v>
      </c>
      <c r="J72" s="13" t="s">
        <v>1842</v>
      </c>
      <c r="K72" s="13" t="s">
        <v>1850</v>
      </c>
      <c r="L72" s="18" t="s">
        <v>2280</v>
      </c>
    </row>
    <row r="73" spans="1:12" ht="60" customHeight="1">
      <c r="A73" s="13" t="s">
        <v>667</v>
      </c>
      <c r="B73" s="13" t="s">
        <v>1855</v>
      </c>
      <c r="C73" s="13" t="s">
        <v>1852</v>
      </c>
      <c r="D73" s="18" t="s">
        <v>2346</v>
      </c>
      <c r="E73" s="18" t="s">
        <v>2297</v>
      </c>
      <c r="F73" s="13" t="s">
        <v>1839</v>
      </c>
      <c r="G73" s="18" t="s">
        <v>2285</v>
      </c>
      <c r="H73" s="13" t="s">
        <v>164</v>
      </c>
      <c r="I73" s="13" t="s">
        <v>169</v>
      </c>
      <c r="J73" s="13" t="s">
        <v>1842</v>
      </c>
      <c r="K73" s="13" t="s">
        <v>1850</v>
      </c>
      <c r="L73" s="18" t="s">
        <v>2280</v>
      </c>
    </row>
    <row r="74" spans="1:12" ht="60" customHeight="1">
      <c r="A74" s="13" t="s">
        <v>673</v>
      </c>
      <c r="B74" s="13" t="s">
        <v>337</v>
      </c>
      <c r="C74" s="13" t="s">
        <v>1849</v>
      </c>
      <c r="D74" s="18" t="s">
        <v>2296</v>
      </c>
      <c r="E74" s="18" t="s">
        <v>2297</v>
      </c>
      <c r="F74" s="13" t="s">
        <v>1839</v>
      </c>
      <c r="G74" s="18" t="s">
        <v>2285</v>
      </c>
      <c r="H74" s="13" t="s">
        <v>164</v>
      </c>
      <c r="I74" s="13" t="s">
        <v>169</v>
      </c>
      <c r="J74" s="13" t="s">
        <v>1842</v>
      </c>
      <c r="K74" s="13" t="s">
        <v>1850</v>
      </c>
      <c r="L74" s="18" t="s">
        <v>2280</v>
      </c>
    </row>
    <row r="75" spans="1:12" ht="60" customHeight="1">
      <c r="A75" s="13" t="s">
        <v>681</v>
      </c>
      <c r="B75" s="13" t="s">
        <v>337</v>
      </c>
      <c r="C75" s="13" t="s">
        <v>1849</v>
      </c>
      <c r="D75" s="18" t="s">
        <v>2290</v>
      </c>
      <c r="E75" s="18" t="s">
        <v>2305</v>
      </c>
      <c r="F75" s="13" t="s">
        <v>1839</v>
      </c>
      <c r="G75" s="18" t="s">
        <v>2285</v>
      </c>
      <c r="H75" s="13" t="s">
        <v>164</v>
      </c>
      <c r="I75" s="13" t="s">
        <v>169</v>
      </c>
      <c r="J75" s="13" t="s">
        <v>1842</v>
      </c>
      <c r="K75" s="13" t="s">
        <v>1850</v>
      </c>
      <c r="L75" s="18" t="s">
        <v>2322</v>
      </c>
    </row>
    <row r="76" spans="1:12" ht="60" customHeight="1">
      <c r="A76" s="13" t="s">
        <v>686</v>
      </c>
      <c r="B76" s="13" t="s">
        <v>1855</v>
      </c>
      <c r="C76" s="13" t="s">
        <v>1852</v>
      </c>
      <c r="D76" s="18" t="s">
        <v>2349</v>
      </c>
      <c r="E76" s="18" t="s">
        <v>2319</v>
      </c>
      <c r="F76" s="13" t="s">
        <v>1839</v>
      </c>
      <c r="G76" s="18" t="s">
        <v>2285</v>
      </c>
      <c r="H76" s="13" t="s">
        <v>362</v>
      </c>
      <c r="I76" s="13" t="s">
        <v>169</v>
      </c>
      <c r="J76" s="13" t="s">
        <v>1842</v>
      </c>
      <c r="K76" s="13" t="s">
        <v>1850</v>
      </c>
      <c r="L76" s="18" t="s">
        <v>2280</v>
      </c>
    </row>
    <row r="77" spans="1:12" ht="60" customHeight="1">
      <c r="A77" s="13" t="s">
        <v>689</v>
      </c>
      <c r="B77" s="13" t="s">
        <v>1855</v>
      </c>
      <c r="C77" s="13" t="s">
        <v>1863</v>
      </c>
      <c r="D77" s="18" t="s">
        <v>2320</v>
      </c>
      <c r="E77" s="18" t="s">
        <v>2319</v>
      </c>
      <c r="F77" s="13" t="s">
        <v>1839</v>
      </c>
      <c r="G77" s="18" t="s">
        <v>2285</v>
      </c>
      <c r="H77" s="13" t="s">
        <v>164</v>
      </c>
      <c r="I77" s="13" t="s">
        <v>169</v>
      </c>
      <c r="J77" s="13" t="s">
        <v>1842</v>
      </c>
      <c r="K77" s="13" t="s">
        <v>1850</v>
      </c>
      <c r="L77" s="18" t="s">
        <v>2280</v>
      </c>
    </row>
    <row r="78" spans="1:12" ht="60" customHeight="1">
      <c r="A78" s="13" t="s">
        <v>697</v>
      </c>
      <c r="B78" s="13" t="s">
        <v>337</v>
      </c>
      <c r="C78" s="13" t="s">
        <v>1849</v>
      </c>
      <c r="D78" s="18" t="s">
        <v>2296</v>
      </c>
      <c r="E78" s="18" t="s">
        <v>2351</v>
      </c>
      <c r="F78" s="13" t="s">
        <v>1839</v>
      </c>
      <c r="G78" s="18" t="s">
        <v>2285</v>
      </c>
      <c r="H78" s="13" t="s">
        <v>164</v>
      </c>
      <c r="I78" s="13" t="s">
        <v>169</v>
      </c>
      <c r="J78" s="13" t="s">
        <v>1842</v>
      </c>
      <c r="K78" s="13" t="s">
        <v>1850</v>
      </c>
      <c r="L78" s="18" t="s">
        <v>2280</v>
      </c>
    </row>
    <row r="79" spans="1:12" ht="60" customHeight="1">
      <c r="A79" s="13" t="s">
        <v>703</v>
      </c>
      <c r="B79" s="13" t="s">
        <v>337</v>
      </c>
      <c r="C79" s="13" t="s">
        <v>1849</v>
      </c>
      <c r="D79" s="18" t="s">
        <v>2290</v>
      </c>
      <c r="E79" s="18" t="s">
        <v>2339</v>
      </c>
      <c r="F79" s="13" t="s">
        <v>1839</v>
      </c>
      <c r="G79" s="18" t="s">
        <v>2285</v>
      </c>
      <c r="H79" s="13" t="s">
        <v>164</v>
      </c>
      <c r="I79" s="13" t="s">
        <v>169</v>
      </c>
      <c r="J79" s="13" t="s">
        <v>1842</v>
      </c>
      <c r="K79" s="13" t="s">
        <v>1850</v>
      </c>
      <c r="L79" s="18" t="s">
        <v>2280</v>
      </c>
    </row>
    <row r="80" spans="1:12" ht="60" customHeight="1">
      <c r="A80" s="13" t="s">
        <v>709</v>
      </c>
      <c r="B80" s="13" t="s">
        <v>1857</v>
      </c>
      <c r="C80" s="13" t="s">
        <v>1858</v>
      </c>
      <c r="D80" s="18" t="s">
        <v>2327</v>
      </c>
      <c r="E80" s="18" t="s">
        <v>2319</v>
      </c>
      <c r="F80" s="13" t="s">
        <v>1839</v>
      </c>
      <c r="G80" s="18" t="s">
        <v>2285</v>
      </c>
      <c r="H80" s="13" t="s">
        <v>362</v>
      </c>
      <c r="I80" s="13" t="s">
        <v>169</v>
      </c>
      <c r="J80" s="13" t="s">
        <v>1842</v>
      </c>
      <c r="K80" s="13" t="s">
        <v>1850</v>
      </c>
      <c r="L80" s="18" t="s">
        <v>2280</v>
      </c>
    </row>
    <row r="81" spans="1:12" ht="60" customHeight="1">
      <c r="A81" s="13" t="s">
        <v>715</v>
      </c>
      <c r="B81" s="13" t="s">
        <v>1855</v>
      </c>
      <c r="C81" s="13" t="s">
        <v>1852</v>
      </c>
      <c r="D81" s="18" t="s">
        <v>2320</v>
      </c>
      <c r="E81" s="18" t="s">
        <v>2300</v>
      </c>
      <c r="F81" s="13" t="s">
        <v>1839</v>
      </c>
      <c r="G81" s="18" t="s">
        <v>2285</v>
      </c>
      <c r="H81" s="13" t="s">
        <v>362</v>
      </c>
      <c r="I81" s="13" t="s">
        <v>169</v>
      </c>
      <c r="J81" s="13" t="s">
        <v>1842</v>
      </c>
      <c r="K81" s="13" t="s">
        <v>1850</v>
      </c>
      <c r="L81" s="18" t="s">
        <v>2280</v>
      </c>
    </row>
    <row r="82" spans="1:12" ht="60" customHeight="1">
      <c r="A82" s="13" t="s">
        <v>717</v>
      </c>
      <c r="B82" s="13" t="s">
        <v>337</v>
      </c>
      <c r="C82" s="13" t="s">
        <v>1849</v>
      </c>
      <c r="D82" s="18" t="s">
        <v>2352</v>
      </c>
      <c r="E82" s="18" t="s">
        <v>2319</v>
      </c>
      <c r="F82" s="13" t="s">
        <v>1839</v>
      </c>
      <c r="G82" s="18" t="s">
        <v>2285</v>
      </c>
      <c r="H82" s="13" t="s">
        <v>164</v>
      </c>
      <c r="I82" s="13" t="s">
        <v>169</v>
      </c>
      <c r="J82" s="13" t="s">
        <v>1842</v>
      </c>
      <c r="K82" s="13" t="s">
        <v>1850</v>
      </c>
      <c r="L82" s="18" t="s">
        <v>2280</v>
      </c>
    </row>
    <row r="83" spans="1:12" ht="60" customHeight="1">
      <c r="A83" s="13" t="s">
        <v>725</v>
      </c>
      <c r="B83" s="13" t="s">
        <v>337</v>
      </c>
      <c r="C83" s="13" t="s">
        <v>1849</v>
      </c>
      <c r="D83" s="18" t="s">
        <v>2346</v>
      </c>
      <c r="E83" s="18" t="s">
        <v>2297</v>
      </c>
      <c r="F83" s="13" t="s">
        <v>1839</v>
      </c>
      <c r="G83" s="18" t="s">
        <v>2285</v>
      </c>
      <c r="H83" s="13" t="s">
        <v>164</v>
      </c>
      <c r="I83" s="13" t="s">
        <v>169</v>
      </c>
      <c r="J83" s="13" t="s">
        <v>1842</v>
      </c>
      <c r="K83" s="13" t="s">
        <v>1850</v>
      </c>
      <c r="L83" s="18" t="s">
        <v>2280</v>
      </c>
    </row>
    <row r="84" spans="1:12" ht="60" customHeight="1">
      <c r="A84" s="13" t="s">
        <v>729</v>
      </c>
      <c r="B84" s="13" t="s">
        <v>1857</v>
      </c>
      <c r="C84" s="13" t="s">
        <v>1858</v>
      </c>
      <c r="D84" s="18" t="s">
        <v>2332</v>
      </c>
      <c r="E84" s="18" t="s">
        <v>2319</v>
      </c>
      <c r="F84" s="13" t="s">
        <v>1839</v>
      </c>
      <c r="G84" s="18" t="s">
        <v>2285</v>
      </c>
      <c r="H84" s="13" t="s">
        <v>362</v>
      </c>
      <c r="I84" s="13" t="s">
        <v>169</v>
      </c>
      <c r="J84" s="13" t="s">
        <v>1842</v>
      </c>
      <c r="K84" s="13" t="s">
        <v>1850</v>
      </c>
      <c r="L84" s="18" t="s">
        <v>2280</v>
      </c>
    </row>
    <row r="85" spans="1:12" ht="60" customHeight="1">
      <c r="A85" s="13" t="s">
        <v>734</v>
      </c>
      <c r="B85" s="13" t="s">
        <v>337</v>
      </c>
      <c r="C85" s="13" t="s">
        <v>1849</v>
      </c>
      <c r="D85" s="18" t="s">
        <v>2327</v>
      </c>
      <c r="E85" s="18" t="s">
        <v>2319</v>
      </c>
      <c r="F85" s="13" t="s">
        <v>1839</v>
      </c>
      <c r="G85" s="18" t="s">
        <v>2285</v>
      </c>
      <c r="H85" s="13" t="s">
        <v>164</v>
      </c>
      <c r="I85" s="13" t="s">
        <v>169</v>
      </c>
      <c r="J85" s="13" t="s">
        <v>1842</v>
      </c>
      <c r="K85" s="13" t="s">
        <v>1850</v>
      </c>
      <c r="L85" s="18" t="s">
        <v>2280</v>
      </c>
    </row>
  </sheetData>
  <mergeCells count="1">
    <mergeCell ref="A1:L2"/>
  </mergeCells>
  <phoneticPr fontId="9" type="noConversion"/>
  <conditionalFormatting sqref="G5:G85">
    <cfRule type="containsText" dxfId="2" priority="3" operator="containsText" text="最新官方已核"/>
  </conditionalFormatting>
  <conditionalFormatting sqref="J5:J85">
    <cfRule type="containsText" dxfId="1" priority="1" operator="containsText" text="高"/>
    <cfRule type="containsText" dxfId="0" priority="2" operator="containsText" text="中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院校总表</vt:lpstr>
      <vt:lpstr>年度线与录取</vt:lpstr>
      <vt:lpstr>卡方432索引</vt:lpstr>
      <vt:lpstr>来源台账</vt:lpstr>
      <vt:lpstr>字段口径</vt:lpstr>
      <vt:lpstr>历年真题证据</vt:lpstr>
      <vt:lpstr>真题索引覆盖</vt:lpstr>
      <vt:lpstr>字段缺口审计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周金铜</cp:lastModifiedBy>
  <dcterms:modified xsi:type="dcterms:W3CDTF">2026-08-14T08:49:34Z</dcterms:modified>
</cp:coreProperties>
</file>